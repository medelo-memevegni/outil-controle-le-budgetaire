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fca974850c08/Desktop/Tâche  Gobal MINISTERE/Projet template_budgétaire/"/>
    </mc:Choice>
  </mc:AlternateContent>
  <xr:revisionPtr revIDLastSave="0" documentId="10_ncr:8000_{A043C02F-86A0-47A1-967F-1EC06A692BD1}" xr6:coauthVersionLast="47" xr6:coauthVersionMax="47" xr10:uidLastSave="{00000000-0000-0000-0000-000000000000}"/>
  <bookViews>
    <workbookView xWindow="-108" yWindow="-108" windowWidth="23256" windowHeight="12576" firstSheet="1" activeTab="6" xr2:uid="{404229E6-85CF-4C6E-886D-259ACF219BAC}"/>
  </bookViews>
  <sheets>
    <sheet name="ACCUEIL" sheetId="1" r:id="rId1"/>
    <sheet name="Paramères" sheetId="2" r:id="rId2"/>
    <sheet name="Budget" sheetId="3" r:id="rId3"/>
    <sheet name="Dépenses" sheetId="4" r:id="rId4"/>
    <sheet name="Engagements" sheetId="5" r:id="rId5"/>
    <sheet name="Fournisseurs" sheetId="6" r:id="rId6"/>
    <sheet name="Suivi Budgétaire" sheetId="7" r:id="rId7"/>
    <sheet name="Suivi Mensuel" sheetId="8" r:id="rId8"/>
    <sheet name="Tableau de bord" sheetId="9" r:id="rId9"/>
  </sheets>
  <definedNames>
    <definedName name="Liste_Fournisseurs">T_Fournisseurs[Nom du fournisseur]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6" l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N7" i="6"/>
  <c r="O7" i="6"/>
  <c r="K3" i="6"/>
  <c r="K4" i="6"/>
  <c r="K5" i="6"/>
  <c r="K6" i="6"/>
  <c r="K7" i="6"/>
  <c r="K2" i="6"/>
  <c r="O4" i="6" l="1"/>
  <c r="O5" i="6"/>
  <c r="O6" i="6"/>
  <c r="N3" i="6"/>
  <c r="O3" i="6" s="1"/>
  <c r="N4" i="6"/>
  <c r="N5" i="6"/>
  <c r="N6" i="6"/>
  <c r="N2" i="6"/>
  <c r="O2" i="6" s="1"/>
  <c r="O102" i="6"/>
  <c r="N102" i="6"/>
  <c r="T3" i="9" l="1"/>
  <c r="T4" i="9"/>
  <c r="T5" i="9"/>
  <c r="T6" i="9"/>
  <c r="T7" i="9"/>
  <c r="T8" i="9"/>
  <c r="T9" i="9"/>
  <c r="T10" i="9"/>
  <c r="T11" i="9"/>
  <c r="T12" i="9"/>
  <c r="T13" i="9"/>
  <c r="T2" i="9"/>
  <c r="Q3" i="9" l="1"/>
  <c r="Q4" i="9"/>
  <c r="Q5" i="9"/>
  <c r="Q6" i="9"/>
  <c r="Q7" i="9"/>
  <c r="Q8" i="9"/>
  <c r="Q9" i="9"/>
  <c r="Q10" i="9"/>
  <c r="Q11" i="9"/>
  <c r="Q12" i="9"/>
  <c r="Q13" i="9"/>
  <c r="Q2" i="9"/>
  <c r="N3" i="9"/>
  <c r="N4" i="9"/>
  <c r="N5" i="9"/>
  <c r="N6" i="9"/>
  <c r="N7" i="9"/>
  <c r="N8" i="9"/>
  <c r="N9" i="9"/>
  <c r="N10" i="9"/>
  <c r="N11" i="9"/>
  <c r="N12" i="9"/>
  <c r="N13" i="9"/>
  <c r="N2" i="9"/>
  <c r="M3" i="9"/>
  <c r="M4" i="9"/>
  <c r="M5" i="9"/>
  <c r="M6" i="9"/>
  <c r="M7" i="9"/>
  <c r="M8" i="9"/>
  <c r="M9" i="9"/>
  <c r="M10" i="9"/>
  <c r="M11" i="9"/>
  <c r="M12" i="9"/>
  <c r="M13" i="9"/>
  <c r="M2" i="9"/>
  <c r="D4" i="9"/>
  <c r="B4" i="9"/>
  <c r="E4" i="9"/>
  <c r="C4" i="9"/>
  <c r="A4" i="9"/>
  <c r="G4" i="9" l="1"/>
  <c r="F4" i="9"/>
  <c r="H4" i="9"/>
  <c r="A7" i="9"/>
  <c r="A10" i="9" l="1"/>
  <c r="B15" i="9" l="1"/>
  <c r="B16" i="9"/>
  <c r="B17" i="9"/>
  <c r="B18" i="9"/>
  <c r="B19" i="9"/>
  <c r="B20" i="9"/>
  <c r="B21" i="9"/>
  <c r="B22" i="9"/>
  <c r="B23" i="9"/>
  <c r="B24" i="9"/>
  <c r="B14" i="9"/>
  <c r="B3" i="8"/>
  <c r="G11" i="8"/>
  <c r="E7" i="8"/>
  <c r="E11" i="8"/>
  <c r="D3" i="8"/>
  <c r="D4" i="8"/>
  <c r="D5" i="8"/>
  <c r="D6" i="8"/>
  <c r="D7" i="8"/>
  <c r="D8" i="8"/>
  <c r="D9" i="8"/>
  <c r="D10" i="8"/>
  <c r="D11" i="8"/>
  <c r="D12" i="8"/>
  <c r="D13" i="8"/>
  <c r="C3" i="8"/>
  <c r="E3" i="8" s="1"/>
  <c r="C4" i="8"/>
  <c r="E4" i="8" s="1"/>
  <c r="C5" i="8"/>
  <c r="E5" i="8" s="1"/>
  <c r="C6" i="8"/>
  <c r="E6" i="8" s="1"/>
  <c r="C7" i="8"/>
  <c r="C8" i="8"/>
  <c r="E8" i="8" s="1"/>
  <c r="C9" i="8"/>
  <c r="E9" i="8" s="1"/>
  <c r="F9" i="8" s="1"/>
  <c r="C10" i="8"/>
  <c r="E10" i="8" s="1"/>
  <c r="C11" i="8"/>
  <c r="C12" i="8"/>
  <c r="E12" i="8" s="1"/>
  <c r="C13" i="8"/>
  <c r="E13" i="8" s="1"/>
  <c r="B13" i="8"/>
  <c r="G13" i="8" s="1"/>
  <c r="B4" i="8"/>
  <c r="B5" i="8"/>
  <c r="G5" i="8" s="1"/>
  <c r="B6" i="8"/>
  <c r="G6" i="8" s="1"/>
  <c r="B7" i="8"/>
  <c r="B8" i="8"/>
  <c r="B9" i="8"/>
  <c r="G9" i="8" s="1"/>
  <c r="B10" i="8"/>
  <c r="G10" i="8" s="1"/>
  <c r="B11" i="8"/>
  <c r="B12" i="8"/>
  <c r="G12" i="8" s="1"/>
  <c r="D2" i="8"/>
  <c r="C2" i="8"/>
  <c r="E2" i="8" s="1"/>
  <c r="B2" i="8"/>
  <c r="I2" i="7"/>
  <c r="I3" i="7"/>
  <c r="I4" i="7"/>
  <c r="I5" i="7"/>
  <c r="I6" i="7"/>
  <c r="F2" i="7"/>
  <c r="F3" i="7"/>
  <c r="F4" i="7"/>
  <c r="J4" i="7" s="1"/>
  <c r="F5" i="7"/>
  <c r="F6" i="7"/>
  <c r="E2" i="7"/>
  <c r="E3" i="7"/>
  <c r="E4" i="7"/>
  <c r="E5" i="7"/>
  <c r="G5" i="7" s="1"/>
  <c r="E6" i="7"/>
  <c r="H6" i="7" s="1"/>
  <c r="F2" i="8" l="1"/>
  <c r="G2" i="8"/>
  <c r="J2" i="7"/>
  <c r="F11" i="8"/>
  <c r="H4" i="7"/>
  <c r="F8" i="8"/>
  <c r="J3" i="7"/>
  <c r="F7" i="8"/>
  <c r="F6" i="8"/>
  <c r="G7" i="8"/>
  <c r="J6" i="7"/>
  <c r="F13" i="8"/>
  <c r="F5" i="8"/>
  <c r="G8" i="8"/>
  <c r="F12" i="8"/>
  <c r="F10" i="8"/>
  <c r="J5" i="7"/>
  <c r="F4" i="8"/>
  <c r="G4" i="8"/>
  <c r="F3" i="8"/>
  <c r="G3" i="8"/>
  <c r="G3" i="7"/>
  <c r="H2" i="7"/>
  <c r="H5" i="7"/>
  <c r="G2" i="7"/>
  <c r="G6" i="7"/>
  <c r="H3" i="7"/>
  <c r="G4" i="7"/>
</calcChain>
</file>

<file path=xl/sharedStrings.xml><?xml version="1.0" encoding="utf-8"?>
<sst xmlns="http://schemas.openxmlformats.org/spreadsheetml/2006/main" count="323" uniqueCount="159">
  <si>
    <t>Catégories de dépenses</t>
  </si>
  <si>
    <t>Transport</t>
  </si>
  <si>
    <t>Fournitures</t>
  </si>
  <si>
    <t>Electricité</t>
  </si>
  <si>
    <t>Eau</t>
  </si>
  <si>
    <t>Télécommunication</t>
  </si>
  <si>
    <t>Carburant</t>
  </si>
  <si>
    <t>Salaires</t>
  </si>
  <si>
    <t>Maintenance</t>
  </si>
  <si>
    <t>Informatique</t>
  </si>
  <si>
    <t>Loyers</t>
  </si>
  <si>
    <t>Autres</t>
  </si>
  <si>
    <t>Services</t>
  </si>
  <si>
    <t>Direction générale</t>
  </si>
  <si>
    <t>Finance</t>
  </si>
  <si>
    <t>Ressources humaines</t>
  </si>
  <si>
    <t>Commercial</t>
  </si>
  <si>
    <t>Production</t>
  </si>
  <si>
    <t>Logistique</t>
  </si>
  <si>
    <t>Statut</t>
  </si>
  <si>
    <t>Prévu</t>
  </si>
  <si>
    <t>Engagé</t>
  </si>
  <si>
    <t>Payé</t>
  </si>
  <si>
    <t>Annulé</t>
  </si>
  <si>
    <t>Mode de paiement</t>
  </si>
  <si>
    <t>Espèces</t>
  </si>
  <si>
    <t>Virement</t>
  </si>
  <si>
    <t>Chèque</t>
  </si>
  <si>
    <t>Carte bancaire</t>
  </si>
  <si>
    <t>Mobile Money</t>
  </si>
  <si>
    <t>ID Fournisseur</t>
  </si>
  <si>
    <t>Nom du fournisseur</t>
  </si>
  <si>
    <t>catégorie</t>
  </si>
  <si>
    <t>Contact</t>
  </si>
  <si>
    <t>Téléphone</t>
  </si>
  <si>
    <t>Email</t>
  </si>
  <si>
    <t>Adresse</t>
  </si>
  <si>
    <t>Conditions de paiement</t>
  </si>
  <si>
    <t>F001</t>
  </si>
  <si>
    <t>F002</t>
  </si>
  <si>
    <t>F003</t>
  </si>
  <si>
    <t>F004</t>
  </si>
  <si>
    <t>F005</t>
  </si>
  <si>
    <t>Maintenance Pro</t>
  </si>
  <si>
    <t>Energie Services</t>
  </si>
  <si>
    <t>Transport plus</t>
  </si>
  <si>
    <t>Bénin Informatique</t>
  </si>
  <si>
    <t>ABC Services</t>
  </si>
  <si>
    <t>DvidT</t>
  </si>
  <si>
    <t>ALAIN.S</t>
  </si>
  <si>
    <t>MARC.A</t>
  </si>
  <si>
    <t>PAUM.K</t>
  </si>
  <si>
    <t>JEAN dupont</t>
  </si>
  <si>
    <t>abc@email.com</t>
  </si>
  <si>
    <t>info@email.com</t>
  </si>
  <si>
    <t>transport@email.com</t>
  </si>
  <si>
    <t>energie@email.com</t>
  </si>
  <si>
    <t>maintenance@email.com</t>
  </si>
  <si>
    <t>PARAKOU</t>
  </si>
  <si>
    <t>COTONOU</t>
  </si>
  <si>
    <t>Comptant</t>
  </si>
  <si>
    <t>Actif</t>
  </si>
  <si>
    <t>ID Budget</t>
  </si>
  <si>
    <t>Exercice</t>
  </si>
  <si>
    <t>Mois</t>
  </si>
  <si>
    <t>Service</t>
  </si>
  <si>
    <t>Catégorie</t>
  </si>
  <si>
    <t>Projet</t>
  </si>
  <si>
    <t>Ligne budgétaire</t>
  </si>
  <si>
    <t>Montant prévu</t>
  </si>
  <si>
    <t>B001</t>
  </si>
  <si>
    <t>B002</t>
  </si>
  <si>
    <t>B003</t>
  </si>
  <si>
    <t>B004</t>
  </si>
  <si>
    <t>B005</t>
  </si>
  <si>
    <t>Janvier</t>
  </si>
  <si>
    <t>Février</t>
  </si>
  <si>
    <t>Mars</t>
  </si>
  <si>
    <t>Projet SI</t>
  </si>
  <si>
    <t>Fonctionnement</t>
  </si>
  <si>
    <t>Achat ordinateurs</t>
  </si>
  <si>
    <t>Fournitures de bureau</t>
  </si>
  <si>
    <t>Maintenance matériel</t>
  </si>
  <si>
    <t>ID Dépense</t>
  </si>
  <si>
    <t>Date</t>
  </si>
  <si>
    <t>Description</t>
  </si>
  <si>
    <t>Fournisseur</t>
  </si>
  <si>
    <t>N°Facture</t>
  </si>
  <si>
    <t>Montant</t>
  </si>
  <si>
    <t>D001</t>
  </si>
  <si>
    <t>D002</t>
  </si>
  <si>
    <t>D003</t>
  </si>
  <si>
    <t>D004</t>
  </si>
  <si>
    <t>Achat ordinateur</t>
  </si>
  <si>
    <t>Déplacement</t>
  </si>
  <si>
    <t xml:space="preserve">Papier et stylos </t>
  </si>
  <si>
    <t>Préparation ordinateur</t>
  </si>
  <si>
    <t>Benin Informatique</t>
  </si>
  <si>
    <t>Transport Plus</t>
  </si>
  <si>
    <t>FAC001</t>
  </si>
  <si>
    <t>FAC002</t>
  </si>
  <si>
    <t>FAC003</t>
  </si>
  <si>
    <t>FAC004</t>
  </si>
  <si>
    <t>En attente</t>
  </si>
  <si>
    <t>Budget prévu</t>
  </si>
  <si>
    <t>Dépenses réelles</t>
  </si>
  <si>
    <t>Ecart</t>
  </si>
  <si>
    <t>Taux d'ecéution</t>
  </si>
  <si>
    <t>MARS</t>
  </si>
  <si>
    <t>ID Engagement</t>
  </si>
  <si>
    <t>N°Commande</t>
  </si>
  <si>
    <t>Montant engagé</t>
  </si>
  <si>
    <t>E001</t>
  </si>
  <si>
    <t>E002</t>
  </si>
  <si>
    <t>E003</t>
  </si>
  <si>
    <t>Fournitures bureau</t>
  </si>
  <si>
    <t>Transport annuel</t>
  </si>
  <si>
    <t>CMD001</t>
  </si>
  <si>
    <t>CMD002</t>
  </si>
  <si>
    <t>CMD003</t>
  </si>
  <si>
    <t>Engagements</t>
  </si>
  <si>
    <t>Budget disponible</t>
  </si>
  <si>
    <t>Budget consommé</t>
  </si>
  <si>
    <t>Taux de consommation</t>
  </si>
  <si>
    <t>Avril</t>
  </si>
  <si>
    <t>Mai</t>
  </si>
  <si>
    <t>Juin</t>
  </si>
  <si>
    <t>Juillet</t>
  </si>
  <si>
    <t>Aôut</t>
  </si>
  <si>
    <t>Septembre</t>
  </si>
  <si>
    <t>Octobre</t>
  </si>
  <si>
    <t>Novembre</t>
  </si>
  <si>
    <t>Décembre</t>
  </si>
  <si>
    <t>TABLEAU DE BORD BUDGETAIRE</t>
  </si>
  <si>
    <t>Budget total</t>
  </si>
  <si>
    <t>Taux global de consommation</t>
  </si>
  <si>
    <t>Situation budgetaire</t>
  </si>
  <si>
    <t>Exercice sélectionné</t>
  </si>
  <si>
    <t>Août</t>
  </si>
  <si>
    <t>Budget consomé</t>
  </si>
  <si>
    <t>Nombre de dépenses</t>
  </si>
  <si>
    <t>Nombre d'engagements</t>
  </si>
  <si>
    <t>Dépense moyenne</t>
  </si>
  <si>
    <t>Taux d'engagement</t>
  </si>
  <si>
    <t>Service sélectionné</t>
  </si>
  <si>
    <t>Tous</t>
  </si>
  <si>
    <t>Catégorie sélectionnée</t>
  </si>
  <si>
    <t>SYSTÈME DE GESTION ET DE SUIVI BUDGÉTAIRE</t>
  </si>
  <si>
    <t>Suivi des budgets, dépenses et engagements</t>
  </si>
  <si>
    <t>Catégorie vs dépenses réelles</t>
  </si>
  <si>
    <t>Date de dernière facture</t>
  </si>
  <si>
    <t>Date d'échéance</t>
  </si>
  <si>
    <t>Montant dû</t>
  </si>
  <si>
    <t>Montant payé</t>
  </si>
  <si>
    <t>Solde restant</t>
  </si>
  <si>
    <t>Statut de l'échéance</t>
  </si>
  <si>
    <t>Toutes</t>
  </si>
  <si>
    <t>Date de paiement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</si>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</sst>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Bodoni MT Black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Bauhaus 93"/>
      <family val="5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 style="medium">
        <color theme="7"/>
      </right>
      <top/>
      <bottom style="medium">
        <color theme="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0" fontId="1" fillId="0" borderId="2" xfId="0" applyFont="1" applyBorder="1"/>
    <xf numFmtId="0" fontId="3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3" fontId="3" fillId="0" borderId="9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6" fillId="5" borderId="10" xfId="0" applyFont="1" applyFill="1" applyBorder="1" applyAlignment="1" applyProtection="1">
      <alignment horizontal="center"/>
      <protection locked="0"/>
    </xf>
    <xf numFmtId="0" fontId="5" fillId="4" borderId="10" xfId="0" applyFont="1" applyFill="1" applyBorder="1" applyAlignment="1" applyProtection="1">
      <alignment horizontal="center"/>
      <protection locked="0"/>
    </xf>
    <xf numFmtId="0" fontId="5" fillId="3" borderId="10" xfId="0" applyFont="1" applyFill="1" applyBorder="1" applyAlignment="1" applyProtection="1">
      <alignment horizontal="center"/>
      <protection locked="0"/>
    </xf>
    <xf numFmtId="165" fontId="0" fillId="0" borderId="0" xfId="0" applyNumberFormat="1"/>
    <xf numFmtId="165" fontId="8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  <border>
        <left style="thin">
          <color auto="1"/>
        </left>
        <vertical/>
        <horizontal/>
      </border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9" formatCode="dd/mm/yyyy"/>
    </dxf>
    <dxf>
      <numFmt numFmtId="165" formatCode="dd/mm/yy;@"/>
    </dxf>
    <dxf>
      <numFmt numFmtId="19" formatCode="dd/mm/yyyy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165" formatCode="dd/mm/yy;@"/>
    </dxf>
    <dxf>
      <numFmt numFmtId="165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Budget prévu vs dépenses réelles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bord'!$M$1</c:f>
              <c:strCache>
                <c:ptCount val="1"/>
                <c:pt idx="0">
                  <c:v>Budget prévu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bord'!$L$2:$L$13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de bord'!$M$2:$M$13</c:f>
              <c:numCache>
                <c:formatCode>General</c:formatCode>
                <c:ptCount val="12"/>
                <c:pt idx="0">
                  <c:v>7000000</c:v>
                </c:pt>
                <c:pt idx="1">
                  <c:v>2500000</c:v>
                </c:pt>
                <c:pt idx="2">
                  <c:v>8000000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F-479D-A806-0FD108D8034A}"/>
            </c:ext>
          </c:extLst>
        </c:ser>
        <c:ser>
          <c:idx val="1"/>
          <c:order val="1"/>
          <c:tx>
            <c:strRef>
              <c:f>'Tableau de bord'!$N$1</c:f>
              <c:strCache>
                <c:ptCount val="1"/>
                <c:pt idx="0">
                  <c:v>Dépenses réelles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bord'!$L$2:$L$13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de bord'!$N$2:$N$13</c:f>
              <c:numCache>
                <c:formatCode>General</c:formatCode>
                <c:ptCount val="12"/>
                <c:pt idx="0">
                  <c:v>2000000</c:v>
                </c:pt>
                <c:pt idx="1">
                  <c:v>600000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F-479D-A806-0FD108D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044335"/>
        <c:axId val="1611812207"/>
      </c:barChart>
      <c:catAx>
        <c:axId val="155504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812207"/>
        <c:crosses val="autoZero"/>
        <c:auto val="1"/>
        <c:lblAlgn val="ctr"/>
        <c:lblOffset val="100"/>
        <c:noMultiLvlLbl val="0"/>
      </c:catAx>
      <c:valAx>
        <c:axId val="16118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50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Budget consommé par mois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bord'!$Q$1</c:f>
              <c:strCache>
                <c:ptCount val="1"/>
                <c:pt idx="0">
                  <c:v>Budget consomé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bord'!$P$2:$P$13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 de bord'!$Q$2:$Q$13</c:f>
              <c:numCache>
                <c:formatCode>General</c:formatCode>
                <c:ptCount val="12"/>
                <c:pt idx="0">
                  <c:v>4800000</c:v>
                </c:pt>
                <c:pt idx="1">
                  <c:v>1100000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5-4C50-810C-74F4B719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856239"/>
        <c:axId val="1770771119"/>
      </c:barChart>
      <c:catAx>
        <c:axId val="161985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771119"/>
        <c:crosses val="autoZero"/>
        <c:auto val="1"/>
        <c:lblAlgn val="ctr"/>
        <c:lblOffset val="100"/>
        <c:noMultiLvlLbl val="0"/>
      </c:catAx>
      <c:valAx>
        <c:axId val="17707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85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Dépenses réelles par catégorie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3010341372943521E-2"/>
          <c:y val="4.2892156862745098E-2"/>
          <c:w val="0.90207903822747704"/>
          <c:h val="0.790451790952601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'Tableau de bord'!$S$1</c:f>
              <c:strCache>
                <c:ptCount val="1"/>
                <c:pt idx="0">
                  <c:v>Catégorie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'Tableau de bord'!$S$2:$S$13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5-40C8-81C4-6E3835B06468}"/>
            </c:ext>
          </c:extLst>
        </c:ser>
        <c:ser>
          <c:idx val="1"/>
          <c:order val="1"/>
          <c:tx>
            <c:strRef>
              <c:f>'Tableau de bord'!$T$1</c:f>
              <c:strCache>
                <c:ptCount val="1"/>
                <c:pt idx="0">
                  <c:v>Dépenses réelles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'Tableau de bord'!$T$2:$T$13</c:f>
              <c:numCache>
                <c:formatCode>General</c:formatCode>
                <c:ptCount val="12"/>
                <c:pt idx="0">
                  <c:v>500000</c:v>
                </c:pt>
                <c:pt idx="1">
                  <c:v>350000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250000</c:v>
                </c:pt>
                <c:pt idx="8">
                  <c:v>1500000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4D6E-9F98-9206A16E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160623"/>
        <c:axId val="1611810959"/>
      </c:barChart>
      <c:catAx>
        <c:axId val="169016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810959"/>
        <c:crosses val="autoZero"/>
        <c:auto val="1"/>
        <c:lblAlgn val="ctr"/>
        <c:lblOffset val="100"/>
        <c:noMultiLvlLbl val="0"/>
      </c:catAx>
      <c:valAx>
        <c:axId val="16118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016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hyperlink" Target="#'Suivi Mensuel'!A1"/><Relationship Id="rId3" Type="http://schemas.openxmlformats.org/officeDocument/2006/relationships/hyperlink" Target="#Fournisseurs!A1"/><Relationship Id="rId7" Type="http://schemas.openxmlformats.org/officeDocument/2006/relationships/hyperlink" Target="#D&#233;penses!A1"/><Relationship Id="rId12" Type="http://schemas.openxmlformats.org/officeDocument/2006/relationships/image" Target="../media/image6.jpeg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1" Type="http://schemas.openxmlformats.org/officeDocument/2006/relationships/hyperlink" Target="#'Tableau de bord'!A1"/><Relationship Id="rId6" Type="http://schemas.openxmlformats.org/officeDocument/2006/relationships/image" Target="../media/image3.jpeg"/><Relationship Id="rId11" Type="http://schemas.openxmlformats.org/officeDocument/2006/relationships/hyperlink" Target="#'Suivi Budg&#233;taire'!A1"/><Relationship Id="rId5" Type="http://schemas.openxmlformats.org/officeDocument/2006/relationships/hyperlink" Target="#Budget!A1"/><Relationship Id="rId15" Type="http://schemas.openxmlformats.org/officeDocument/2006/relationships/hyperlink" Target="#Param&#232;res!A1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#Engagements!A1"/><Relationship Id="rId14" Type="http://schemas.openxmlformats.org/officeDocument/2006/relationships/image" Target="../media/image7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ACCUEI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jpeg"/><Relationship Id="rId4" Type="http://schemas.openxmlformats.org/officeDocument/2006/relationships/hyperlink" Target="#ACCUEI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15240</xdr:colOff>
      <xdr:row>7</xdr:row>
      <xdr:rowOff>7620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69913-4D6B-42B2-B7FB-493BAC7F016E}"/>
            </a:ext>
          </a:extLst>
        </xdr:cNvPr>
        <xdr:cNvSpPr/>
      </xdr:nvSpPr>
      <xdr:spPr>
        <a:xfrm>
          <a:off x="792480" y="1097280"/>
          <a:ext cx="1737360" cy="190500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tx1"/>
              </a:solidFill>
            </a:rPr>
            <a:t>📊TABLEAU DE BORD </a:t>
          </a:r>
          <a:r>
            <a:rPr lang="fr-FR" sz="1400"/>
            <a:t> BORD</a:t>
          </a:r>
        </a:p>
      </xdr:txBody>
    </xdr:sp>
    <xdr:clientData/>
  </xdr:twoCellAnchor>
  <xdr:twoCellAnchor>
    <xdr:from>
      <xdr:col>1</xdr:col>
      <xdr:colOff>7620</xdr:colOff>
      <xdr:row>10</xdr:row>
      <xdr:rowOff>175260</xdr:rowOff>
    </xdr:from>
    <xdr:to>
      <xdr:col>1</xdr:col>
      <xdr:colOff>1798320</xdr:colOff>
      <xdr:row>11</xdr:row>
      <xdr:rowOff>449580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56E9A9-C909-4E4B-B24E-DFDB6AA3F53C}"/>
            </a:ext>
          </a:extLst>
        </xdr:cNvPr>
        <xdr:cNvSpPr/>
      </xdr:nvSpPr>
      <xdr:spPr>
        <a:xfrm>
          <a:off x="800100" y="2095500"/>
          <a:ext cx="1790700" cy="457200"/>
        </a:xfrm>
        <a:prstGeom prst="rect">
          <a:avLst/>
        </a:prstGeom>
        <a:blipFill>
          <a:blip xmlns:r="http://schemas.openxmlformats.org/officeDocument/2006/relationships" r:embed="rId4"/>
          <a:tile tx="0" ty="0" sx="100000" sy="100000" flip="none" algn="tl"/>
        </a:blip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chemeClr val="tx1"/>
              </a:solidFill>
            </a:rPr>
            <a:t>📋FOURNISSEURS</a:t>
          </a:r>
        </a:p>
      </xdr:txBody>
    </xdr:sp>
    <xdr:clientData/>
  </xdr:twoCellAnchor>
  <xdr:twoCellAnchor>
    <xdr:from>
      <xdr:col>1</xdr:col>
      <xdr:colOff>7620</xdr:colOff>
      <xdr:row>8</xdr:row>
      <xdr:rowOff>0</xdr:rowOff>
    </xdr:from>
    <xdr:to>
      <xdr:col>2</xdr:col>
      <xdr:colOff>30480</xdr:colOff>
      <xdr:row>9</xdr:row>
      <xdr:rowOff>0</xdr:rowOff>
    </xdr:to>
    <xdr:sp macro="" textlink="">
      <xdr:nvSpPr>
        <xdr:cNvPr id="5" name="Rectangl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67410F-1187-471B-99FE-B27DCFF1A780}"/>
            </a:ext>
          </a:extLst>
        </xdr:cNvPr>
        <xdr:cNvSpPr/>
      </xdr:nvSpPr>
      <xdr:spPr>
        <a:xfrm>
          <a:off x="800100" y="1463040"/>
          <a:ext cx="1623060" cy="182880"/>
        </a:xfrm>
        <a:prstGeom prst="rect">
          <a:avLst/>
        </a:prstGeom>
        <a:blipFill>
          <a:blip xmlns:r="http://schemas.openxmlformats.org/officeDocument/2006/relationships" r:embed="rId6"/>
          <a:tile tx="0" ty="0" sx="100000" sy="100000" flip="none" algn="tl"/>
        </a:blip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>
              <a:solidFill>
                <a:schemeClr val="tx1"/>
              </a:solidFill>
            </a:rPr>
            <a:t>💳</a:t>
          </a:r>
          <a:r>
            <a:rPr lang="fr-FR" sz="1400" b="1">
              <a:solidFill>
                <a:schemeClr val="tx1"/>
              </a:solidFill>
            </a:rPr>
            <a:t>BUDGET</a:t>
          </a:r>
        </a:p>
      </xdr:txBody>
    </xdr:sp>
    <xdr:clientData/>
  </xdr:twoCellAnchor>
  <xdr:twoCellAnchor>
    <xdr:from>
      <xdr:col>3</xdr:col>
      <xdr:colOff>30480</xdr:colOff>
      <xdr:row>8</xdr:row>
      <xdr:rowOff>7620</xdr:rowOff>
    </xdr:from>
    <xdr:to>
      <xdr:col>4</xdr:col>
      <xdr:colOff>15240</xdr:colOff>
      <xdr:row>8</xdr:row>
      <xdr:rowOff>419100</xdr:rowOff>
    </xdr:to>
    <xdr:sp macro="" textlink="">
      <xdr:nvSpPr>
        <xdr:cNvPr id="6" name="Rectangl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E63C64-3695-43CA-9226-E2A7B2292C15}"/>
            </a:ext>
          </a:extLst>
        </xdr:cNvPr>
        <xdr:cNvSpPr/>
      </xdr:nvSpPr>
      <xdr:spPr>
        <a:xfrm>
          <a:off x="3429000" y="1424940"/>
          <a:ext cx="2133600" cy="411480"/>
        </a:xfrm>
        <a:prstGeom prst="rect">
          <a:avLst/>
        </a:prstGeom>
        <a:blipFill>
          <a:blip xmlns:r="http://schemas.openxmlformats.org/officeDocument/2006/relationships" r:embed="rId8"/>
          <a:tile tx="0" ty="0" sx="100000" sy="100000" flip="none" algn="tl"/>
        </a:blip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tx1"/>
              </a:solidFill>
            </a:rPr>
            <a:t>💰Dépenses</a:t>
          </a:r>
        </a:p>
      </xdr:txBody>
    </xdr:sp>
    <xdr:clientData/>
  </xdr:twoCellAnchor>
  <xdr:twoCellAnchor>
    <xdr:from>
      <xdr:col>5</xdr:col>
      <xdr:colOff>0</xdr:colOff>
      <xdr:row>8</xdr:row>
      <xdr:rowOff>15240</xdr:rowOff>
    </xdr:from>
    <xdr:to>
      <xdr:col>6</xdr:col>
      <xdr:colOff>15240</xdr:colOff>
      <xdr:row>8</xdr:row>
      <xdr:rowOff>434340</xdr:rowOff>
    </xdr:to>
    <xdr:sp macro="" textlink="">
      <xdr:nvSpPr>
        <xdr:cNvPr id="7" name="Rectangl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37CFDC-90A8-4910-AD01-2E5A3F1959DC}"/>
            </a:ext>
          </a:extLst>
        </xdr:cNvPr>
        <xdr:cNvSpPr/>
      </xdr:nvSpPr>
      <xdr:spPr>
        <a:xfrm>
          <a:off x="6339840" y="1432560"/>
          <a:ext cx="1851660" cy="419100"/>
        </a:xfrm>
        <a:prstGeom prst="rect">
          <a:avLst/>
        </a:prstGeom>
        <a:blipFill>
          <a:blip xmlns:r="http://schemas.openxmlformats.org/officeDocument/2006/relationships" r:embed="rId10"/>
          <a:tile tx="0" ty="0" sx="100000" sy="100000" flip="none" algn="tl"/>
        </a:blip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>
              <a:solidFill>
                <a:schemeClr val="tx1"/>
              </a:solidFill>
            </a:rPr>
            <a:t>📋</a:t>
          </a:r>
          <a:r>
            <a:rPr lang="fr-FR" sz="1100">
              <a:solidFill>
                <a:schemeClr val="tx1"/>
              </a:solidFill>
            </a:rPr>
            <a:t>ENGAGEMENTS</a:t>
          </a:r>
        </a:p>
      </xdr:txBody>
    </xdr:sp>
    <xdr:clientData/>
  </xdr:twoCellAnchor>
  <xdr:twoCellAnchor>
    <xdr:from>
      <xdr:col>2</xdr:col>
      <xdr:colOff>777240</xdr:colOff>
      <xdr:row>11</xdr:row>
      <xdr:rowOff>15240</xdr:rowOff>
    </xdr:from>
    <xdr:to>
      <xdr:col>4</xdr:col>
      <xdr:colOff>30480</xdr:colOff>
      <xdr:row>12</xdr:row>
      <xdr:rowOff>22860</xdr:rowOff>
    </xdr:to>
    <xdr:sp macro="" textlink="">
      <xdr:nvSpPr>
        <xdr:cNvPr id="8" name="Rectangle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AA4597F-8479-42EC-B51B-B6AD6571CB73}"/>
            </a:ext>
          </a:extLst>
        </xdr:cNvPr>
        <xdr:cNvSpPr/>
      </xdr:nvSpPr>
      <xdr:spPr>
        <a:xfrm>
          <a:off x="3383280" y="2118360"/>
          <a:ext cx="1699260" cy="464820"/>
        </a:xfrm>
        <a:prstGeom prst="rect">
          <a:avLst/>
        </a:prstGeom>
        <a:blipFill>
          <a:blip xmlns:r="http://schemas.openxmlformats.org/officeDocument/2006/relationships" r:embed="rId12"/>
          <a:tile tx="0" ty="0" sx="100000" sy="100000" flip="none" algn="tl"/>
        </a:blip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chemeClr val="tx1"/>
              </a:solidFill>
            </a:rPr>
            <a:t>📈SUIVI BUDGETAIRE</a:t>
          </a:r>
          <a:r>
            <a:rPr lang="fr-FR" sz="1100" baseline="0"/>
            <a:t> </a:t>
          </a:r>
          <a:endParaRPr lang="fr-FR" sz="1100"/>
        </a:p>
      </xdr:txBody>
    </xdr:sp>
    <xdr:clientData/>
  </xdr:twoCellAnchor>
  <xdr:twoCellAnchor>
    <xdr:from>
      <xdr:col>5</xdr:col>
      <xdr:colOff>22860</xdr:colOff>
      <xdr:row>11</xdr:row>
      <xdr:rowOff>15240</xdr:rowOff>
    </xdr:from>
    <xdr:to>
      <xdr:col>6</xdr:col>
      <xdr:colOff>22860</xdr:colOff>
      <xdr:row>12</xdr:row>
      <xdr:rowOff>22860</xdr:rowOff>
    </xdr:to>
    <xdr:sp macro="" textlink="">
      <xdr:nvSpPr>
        <xdr:cNvPr id="9" name="Rectangle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D9CEC9-AA22-4C65-8E7A-FF13A65E16F2}"/>
            </a:ext>
          </a:extLst>
        </xdr:cNvPr>
        <xdr:cNvSpPr/>
      </xdr:nvSpPr>
      <xdr:spPr>
        <a:xfrm>
          <a:off x="5775960" y="2072640"/>
          <a:ext cx="1211580" cy="266700"/>
        </a:xfrm>
        <a:prstGeom prst="rect">
          <a:avLst/>
        </a:prstGeom>
        <a:blipFill>
          <a:blip xmlns:r="http://schemas.openxmlformats.org/officeDocument/2006/relationships" r:embed="rId14"/>
          <a:tile tx="0" ty="0" sx="100000" sy="100000" flip="none" algn="tl"/>
        </a:blip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 b="1">
              <a:solidFill>
                <a:schemeClr val="tx1"/>
              </a:solidFill>
            </a:rPr>
            <a:t>📅SUIVI MENSUEL</a:t>
          </a:r>
        </a:p>
      </xdr:txBody>
    </xdr:sp>
    <xdr:clientData/>
  </xdr:twoCellAnchor>
  <xdr:twoCellAnchor>
    <xdr:from>
      <xdr:col>2</xdr:col>
      <xdr:colOff>784860</xdr:colOff>
      <xdr:row>13</xdr:row>
      <xdr:rowOff>175260</xdr:rowOff>
    </xdr:from>
    <xdr:to>
      <xdr:col>4</xdr:col>
      <xdr:colOff>7620</xdr:colOff>
      <xdr:row>14</xdr:row>
      <xdr:rowOff>441960</xdr:rowOff>
    </xdr:to>
    <xdr:sp macro="" textlink="">
      <xdr:nvSpPr>
        <xdr:cNvPr id="10" name="Rectangle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9910069-8852-41E7-AF28-2114F02B28FC}"/>
            </a:ext>
          </a:extLst>
        </xdr:cNvPr>
        <xdr:cNvSpPr/>
      </xdr:nvSpPr>
      <xdr:spPr>
        <a:xfrm>
          <a:off x="3299460" y="2720340"/>
          <a:ext cx="1668780" cy="449580"/>
        </a:xfrm>
        <a:prstGeom prst="rect">
          <a:avLst/>
        </a:prstGeom>
        <a:blipFill>
          <a:blip xmlns:r="http://schemas.openxmlformats.org/officeDocument/2006/relationships" r:embed="rId16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tx1"/>
              </a:solidFill>
            </a:rPr>
            <a:t>⚙️Paramètre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6</xdr:col>
      <xdr:colOff>480060</xdr:colOff>
      <xdr:row>17</xdr:row>
      <xdr:rowOff>82671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66A55-F16F-4FC7-9F8A-88CFA0EC5FCB}"/>
            </a:ext>
          </a:extLst>
        </xdr:cNvPr>
        <xdr:cNvSpPr/>
      </xdr:nvSpPr>
      <xdr:spPr>
        <a:xfrm>
          <a:off x="2186940" y="2377440"/>
          <a:ext cx="3992880" cy="814191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6</xdr:col>
      <xdr:colOff>906780</xdr:colOff>
      <xdr:row>11</xdr:row>
      <xdr:rowOff>82671</xdr:rowOff>
    </xdr:to>
    <xdr:sp macro="" textlink="">
      <xdr:nvSpPr>
        <xdr:cNvPr id="3" name="Flèche :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E2992-50B0-417E-B40B-A2FF5C9681AD}"/>
            </a:ext>
          </a:extLst>
        </xdr:cNvPr>
        <xdr:cNvSpPr/>
      </xdr:nvSpPr>
      <xdr:spPr>
        <a:xfrm>
          <a:off x="2377440" y="1280160"/>
          <a:ext cx="3992880" cy="814191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7</xdr:col>
      <xdr:colOff>1043940</xdr:colOff>
      <xdr:row>10</xdr:row>
      <xdr:rowOff>82671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5720F6-D15C-4CD8-91D2-F0E15B1A46C3}"/>
            </a:ext>
          </a:extLst>
        </xdr:cNvPr>
        <xdr:cNvSpPr/>
      </xdr:nvSpPr>
      <xdr:spPr>
        <a:xfrm>
          <a:off x="3223260" y="1097280"/>
          <a:ext cx="3992880" cy="814191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30481</xdr:rowOff>
    </xdr:from>
    <xdr:to>
      <xdr:col>7</xdr:col>
      <xdr:colOff>998220</xdr:colOff>
      <xdr:row>10</xdr:row>
      <xdr:rowOff>83821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CEBC4-4152-4570-82BD-5AE6E86E30B5}"/>
            </a:ext>
          </a:extLst>
        </xdr:cNvPr>
        <xdr:cNvSpPr/>
      </xdr:nvSpPr>
      <xdr:spPr>
        <a:xfrm>
          <a:off x="3451860" y="944881"/>
          <a:ext cx="3992880" cy="967740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103</xdr:row>
      <xdr:rowOff>30481</xdr:rowOff>
    </xdr:from>
    <xdr:to>
      <xdr:col>7</xdr:col>
      <xdr:colOff>655320</xdr:colOff>
      <xdr:row>107</xdr:row>
      <xdr:rowOff>68581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54B1C-4F88-4682-8097-B581E7ECFF64}"/>
            </a:ext>
          </a:extLst>
        </xdr:cNvPr>
        <xdr:cNvSpPr/>
      </xdr:nvSpPr>
      <xdr:spPr>
        <a:xfrm>
          <a:off x="4030980" y="1424941"/>
          <a:ext cx="3992880" cy="769620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76200</xdr:rowOff>
    </xdr:from>
    <xdr:to>
      <xdr:col>7</xdr:col>
      <xdr:colOff>990600</xdr:colOff>
      <xdr:row>11</xdr:row>
      <xdr:rowOff>68581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A9634-DC4A-4C39-ABAA-097C1FA8F042}"/>
            </a:ext>
          </a:extLst>
        </xdr:cNvPr>
        <xdr:cNvSpPr/>
      </xdr:nvSpPr>
      <xdr:spPr>
        <a:xfrm>
          <a:off x="3931920" y="1173480"/>
          <a:ext cx="3992880" cy="906781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99060</xdr:rowOff>
    </xdr:from>
    <xdr:to>
      <xdr:col>6</xdr:col>
      <xdr:colOff>937260</xdr:colOff>
      <xdr:row>20</xdr:row>
      <xdr:rowOff>45721</xdr:rowOff>
    </xdr:to>
    <xdr:sp macro="" textlink="">
      <xdr:nvSpPr>
        <xdr:cNvPr id="2" name="Flèche : gauch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A6E24-1E70-45D5-8B06-3BE1897DC560}"/>
            </a:ext>
          </a:extLst>
        </xdr:cNvPr>
        <xdr:cNvSpPr/>
      </xdr:nvSpPr>
      <xdr:spPr>
        <a:xfrm>
          <a:off x="2613660" y="2476500"/>
          <a:ext cx="3992880" cy="1226821"/>
        </a:xfrm>
        <a:prstGeom prst="leftArrow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800" b="1">
              <a:solidFill>
                <a:schemeClr val="tx1"/>
              </a:solidFill>
            </a:rPr>
            <a:t>🏠</a:t>
          </a:r>
          <a:r>
            <a:rPr lang="fr-FR" sz="1800"/>
            <a:t> </a:t>
          </a:r>
          <a:r>
            <a:rPr lang="fr-FR" sz="1800" b="1">
              <a:solidFill>
                <a:schemeClr val="accent2"/>
              </a:solidFill>
            </a:rPr>
            <a:t>Retour</a:t>
          </a:r>
          <a:r>
            <a:rPr lang="fr-FR" sz="1800" b="1" baseline="0">
              <a:solidFill>
                <a:schemeClr val="accent2"/>
              </a:solidFill>
            </a:rPr>
            <a:t> </a:t>
          </a:r>
          <a:r>
            <a:rPr lang="fr-FR" sz="1800" b="1">
              <a:solidFill>
                <a:schemeClr val="accent2"/>
              </a:solidFill>
            </a:rPr>
            <a:t>à</a:t>
          </a:r>
          <a:r>
            <a:rPr lang="fr-FR" sz="1800" b="1" baseline="0">
              <a:solidFill>
                <a:schemeClr val="accent2"/>
              </a:solidFill>
            </a:rPr>
            <a:t>l'acceuil</a:t>
          </a:r>
          <a:endParaRPr lang="fr-FR" sz="1800" b="1">
            <a:solidFill>
              <a:schemeClr val="accent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62629</xdr:colOff>
      <xdr:row>4</xdr:row>
      <xdr:rowOff>146137</xdr:rowOff>
    </xdr:from>
    <xdr:to>
      <xdr:col>4</xdr:col>
      <xdr:colOff>908137</xdr:colOff>
      <xdr:row>10</xdr:row>
      <xdr:rowOff>1795397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3B2EA55A-5A47-46A8-95CA-FBCBF32AA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1148219</xdr:colOff>
      <xdr:row>4</xdr:row>
      <xdr:rowOff>177452</xdr:rowOff>
    </xdr:from>
    <xdr:to>
      <xdr:col>7</xdr:col>
      <xdr:colOff>1419617</xdr:colOff>
      <xdr:row>10</xdr:row>
      <xdr:rowOff>1795398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6D21EC7F-4A7D-4652-92D5-26A6116A0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1103751</xdr:colOff>
      <xdr:row>10</xdr:row>
      <xdr:rowOff>1837463</xdr:rowOff>
    </xdr:from>
    <xdr:to>
      <xdr:col>7</xdr:col>
      <xdr:colOff>308140</xdr:colOff>
      <xdr:row>22</xdr:row>
      <xdr:rowOff>9081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F95F3A3-3CE0-4D91-BACB-3D6371A30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0</xdr:row>
      <xdr:rowOff>20877</xdr:rowOff>
    </xdr:from>
    <xdr:to>
      <xdr:col>10</xdr:col>
      <xdr:colOff>334027</xdr:colOff>
      <xdr:row>1</xdr:row>
      <xdr:rowOff>0</xdr:rowOff>
    </xdr:to>
    <xdr:sp macro="" textlink="">
      <xdr:nvSpPr>
        <xdr:cNvPr id="5" name="Flèche : gauch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A86B06-9672-47AE-A068-5AB0FD768CF6}"/>
            </a:ext>
          </a:extLst>
        </xdr:cNvPr>
        <xdr:cNvSpPr/>
      </xdr:nvSpPr>
      <xdr:spPr>
        <a:xfrm>
          <a:off x="12014548" y="20877"/>
          <a:ext cx="2181616" cy="814191"/>
        </a:xfrm>
        <a:prstGeom prst="leftArrow">
          <a:avLst/>
        </a:prstGeom>
        <a:blipFill>
          <a:blip xmlns:r="http://schemas.openxmlformats.org/officeDocument/2006/relationships" r:embed="rId5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tx1"/>
              </a:solidFill>
            </a:rPr>
            <a:t>🏠</a:t>
          </a:r>
          <a:r>
            <a:rPr lang="fr-FR" sz="1600"/>
            <a:t> </a:t>
          </a:r>
          <a:r>
            <a:rPr lang="fr-FR" sz="1600" b="1">
              <a:solidFill>
                <a:schemeClr val="accent2"/>
              </a:solidFill>
            </a:rPr>
            <a:t>Retour</a:t>
          </a:r>
          <a:r>
            <a:rPr lang="fr-FR" sz="1600" b="1" baseline="0">
              <a:solidFill>
                <a:schemeClr val="accent2"/>
              </a:solidFill>
            </a:rPr>
            <a:t> </a:t>
          </a:r>
          <a:r>
            <a:rPr lang="fr-FR" sz="1600" b="1">
              <a:solidFill>
                <a:schemeClr val="accent2"/>
              </a:solidFill>
            </a:rPr>
            <a:t>à</a:t>
          </a:r>
          <a:r>
            <a:rPr lang="fr-FR" sz="1600" b="1" baseline="0">
              <a:solidFill>
                <a:schemeClr val="accent2"/>
              </a:solidFill>
            </a:rPr>
            <a:t>l'acceuil</a:t>
          </a:r>
          <a:endParaRPr lang="fr-FR" sz="1600" b="1">
            <a:solidFill>
              <a:schemeClr val="accent2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94052-8E85-4F8F-8CDC-77845AF85DFF}" name="T_Budget" displayName="T_Budget" ref="A1:H6" totalsRowShown="0">
  <autoFilter ref="A1:H6" xr:uid="{13C08F40-5EB3-4A51-BB4A-68A1217B6314}"/>
  <tableColumns count="8">
    <tableColumn id="1" xr3:uid="{01AEF612-0441-47D6-AF11-B0A4E0CC2FDA}" name="ID Budget"/>
    <tableColumn id="2" xr3:uid="{BD8BAC96-1B76-4CFA-958C-6F10D3D1374E}" name="Exercice"/>
    <tableColumn id="3" xr3:uid="{8E1DCA48-0A86-4DA3-B039-086C2627ADF4}" name="Mois"/>
    <tableColumn id="4" xr3:uid="{E6DFC28D-5C50-4406-BFC6-4E6FE0F21B4C}" name="Service"/>
    <tableColumn id="5" xr3:uid="{F1FAB8BA-E037-4BB5-81A4-21F72C50C737}" name="Catégorie"/>
    <tableColumn id="6" xr3:uid="{776E913A-D0B3-4995-B72D-8C1CC7D6AE87}" name="Projet"/>
    <tableColumn id="7" xr3:uid="{F8B88484-74E9-4FE2-B433-AD5A13981FC4}" name="Ligne budgétaire"/>
    <tableColumn id="8" xr3:uid="{F13F2980-D5C0-4EAC-92F3-99018C7998E4}" name="Montant prévu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BE13DA-055E-4D4D-8C98-424DF937D4A7}" name="T_Depenses" displayName="T_Depenses" ref="A1:M5" totalsRowShown="0">
  <autoFilter ref="A1:M5" xr:uid="{62B02845-AB1E-4294-90F3-BE26ED9DBCE1}"/>
  <tableColumns count="13">
    <tableColumn id="1" xr3:uid="{BE27832E-CB51-445D-B09A-3F2447550B7D}" name="ID Dépense"/>
    <tableColumn id="2" xr3:uid="{B34B544C-3CA4-409A-988B-198B33293E6E}" name="Date" dataDxfId="26"/>
    <tableColumn id="3" xr3:uid="{FE29A80F-F829-4994-946A-319200BB9F37}" name="Exercice"/>
    <tableColumn id="4" xr3:uid="{D4A8AF5A-66F7-450D-BDAF-EBB3A07E768F}" name="Mois"/>
    <tableColumn id="5" xr3:uid="{A0691D98-6439-4A87-9596-CC533E8FD3F8}" name="Service"/>
    <tableColumn id="6" xr3:uid="{862475E3-A9C4-4568-B8D4-1A8C524B484B}" name="Catégorie"/>
    <tableColumn id="7" xr3:uid="{F4CA9A09-33BE-4FAD-A11C-8E5AA0A41479}" name="Description"/>
    <tableColumn id="8" xr3:uid="{B9C5B6FF-C377-4D10-AAC8-B6DEED447B1E}" name="Fournisseur"/>
    <tableColumn id="9" xr3:uid="{EB175D49-E567-40B8-AA62-0C55BB2B804A}" name="N°Facture"/>
    <tableColumn id="10" xr3:uid="{62F6A205-DACB-46A8-A4AB-F1ECC3FFDC6B}" name="Montant"/>
    <tableColumn id="11" xr3:uid="{DB68F09F-0B44-4477-951B-DDCA1933676F}" name="Mode de paiement"/>
    <tableColumn id="12" xr3:uid="{F5F49F56-6401-4003-9A35-503D678A7101}" name="Statut"/>
    <tableColumn id="13" xr3:uid="{D0908957-C290-4DB9-B4ED-F00444EEBE65}" name="Date de paiement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A76957-DB45-4F22-9D2C-1ECAD6254BE6}" name="T_Engagements" displayName="T_Engagements" ref="A1:K4" totalsRowShown="0">
  <autoFilter ref="A1:K4" xr:uid="{3931C1A9-A1CC-469D-AB20-C1B6D508576B}"/>
  <tableColumns count="11">
    <tableColumn id="1" xr3:uid="{2718CB91-AAAA-4092-BA0B-941965B618EE}" name="ID Engagement"/>
    <tableColumn id="2" xr3:uid="{73D2A172-97FA-4066-8CEE-CEA552CAB190}" name="Date" dataDxfId="24"/>
    <tableColumn id="3" xr3:uid="{308BAA6B-51F9-48C2-8BF8-0F5C40009CCD}" name="Exercice"/>
    <tableColumn id="4" xr3:uid="{0A9273C9-FF71-465D-821E-A99F3CC26A48}" name="Mois"/>
    <tableColumn id="5" xr3:uid="{D0598FC3-4676-4150-9C5F-0F2DFBB14E24}" name="Service"/>
    <tableColumn id="6" xr3:uid="{C3D6DE1A-5DF8-417A-A519-92A0FFF89764}" name="Catégorie"/>
    <tableColumn id="7" xr3:uid="{079D4143-329B-4886-AD55-617E95F9EE6B}" name="Description"/>
    <tableColumn id="8" xr3:uid="{28ED9CAC-7A6D-493C-AEC2-92C698CD2047}" name="Fournisseur"/>
    <tableColumn id="9" xr3:uid="{DE6A53E8-E407-476B-B3CD-ED3169EB16E2}" name="N°Commande"/>
    <tableColumn id="10" xr3:uid="{9AB5EC85-C220-4953-8815-DB8BBBFDD424}" name="Montant engagé" dataDxfId="23"/>
    <tableColumn id="11" xr3:uid="{C761564E-0869-4BE0-B43E-04C8824EDD9B}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DB13-B86F-47ED-819C-B5657F7D5C8D}" name="T_Fournisseurs" displayName="T_Fournisseurs" ref="A1:O101" totalsRowShown="0">
  <autoFilter ref="A1:O101" xr:uid="{CB3E11CB-471E-400D-851D-CAA42491482F}"/>
  <tableColumns count="15">
    <tableColumn id="1" xr3:uid="{B0933F9B-7E77-4B11-A5AB-B6AC5EE7F359}" name="ID Fournisseur"/>
    <tableColumn id="2" xr3:uid="{CB2CC868-F3DD-483C-9E6F-402AC79DA8FF}" name="Nom du fournisseur"/>
    <tableColumn id="3" xr3:uid="{FA7E8C3E-AB80-4396-B8B8-BAE1AC0A0D09}" name="catégorie"/>
    <tableColumn id="4" xr3:uid="{38D96180-850F-4203-B72F-1580EAEE4A17}" name="Contact"/>
    <tableColumn id="5" xr3:uid="{248A5EB9-B29A-49A0-866D-649DB84101FE}" name="Téléphone"/>
    <tableColumn id="6" xr3:uid="{331FFC08-7DA4-4DDF-96D3-167BFDB48994}" name="Email"/>
    <tableColumn id="7" xr3:uid="{F5C754BA-428A-4661-8BEA-3E7CA6E687CF}" name="Adresse"/>
    <tableColumn id="8" xr3:uid="{43276988-CEFE-4EA4-801A-C3F6F3157EC3}" name="Conditions de paiement"/>
    <tableColumn id="9" xr3:uid="{032603BC-955D-41FC-98EB-C5E9517B3170}" name="Statut"/>
    <tableColumn id="10" xr3:uid="{115E434B-615A-43FB-956F-A3DB0593E6F1}" name="Date de dernière facture" dataDxfId="33"/>
    <tableColumn id="11" xr3:uid="{30B394D1-0799-46A2-A545-D762CBCD3EE9}" name="Date d'échéance" dataDxfId="32">
      <calculatedColumnFormula>IF(J2="","",IF(H2="Comptant",J2,J2+H2))</calculatedColumnFormula>
    </tableColumn>
    <tableColumn id="12" xr3:uid="{6C0AEBC4-3A02-4A36-B7D9-9DE037A90696}" name="Montant dû" dataDxfId="31"/>
    <tableColumn id="13" xr3:uid="{B2025004-F04D-4C84-A321-F03897D5E36E}" name="Montant payé" dataDxfId="30"/>
    <tableColumn id="14" xr3:uid="{13A2D463-FAAA-425F-BA8F-83458E1319DB}" name="Solde restant" dataDxfId="29">
      <calculatedColumnFormula>IF(L2="","",L2-M2)</calculatedColumnFormula>
    </tableColumn>
    <tableColumn id="15" xr3:uid="{CEF873C4-FBC5-429B-A2D0-9675E5B48643}" name="Statut de l'échéance" dataDxfId="28">
      <calculatedColumnFormula>IF(K2="","",IF(N2&lt;=0,"Payé",IF(AND(M2&gt;0,N2&gt;0),"Partiellement payé",IF(K2&lt;TODAY(),"Échu",IF(K2-TODAY()&lt;=7,"Échéance proche","À venir")))))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CF0272-A02B-40E9-A0AA-57DD13081CD1}" name="T_Suivi" displayName="T_Suivi" ref="A1:J6" totalsRowShown="0">
  <autoFilter ref="A1:J6" xr:uid="{C6530EF4-502B-487F-A6C1-91840F573904}"/>
  <tableColumns count="10">
    <tableColumn id="1" xr3:uid="{24B5ACD3-0016-45A8-BDD9-29C2460B5324}" name="Exercice"/>
    <tableColumn id="2" xr3:uid="{A0030B6A-867D-4121-8A58-6237FECCCD3D}" name="Mois"/>
    <tableColumn id="3" xr3:uid="{6967BDB9-6B00-4BB0-8274-CECA08FA435D}" name="Service"/>
    <tableColumn id="4" xr3:uid="{410EF0DD-EE4B-4877-8717-ACC0D066BC62}" name="Catégorie"/>
    <tableColumn id="5" xr3:uid="{173C8C78-D0CB-4E7E-A936-F44D2AA49458}" name="Budget prévu" dataDxfId="22">
      <calculatedColumnFormula>SUMIFS(T_Budget[Montant prévu],T_Budget[Exercice],A2,T_Budget[Mois],B2,T_Budget[Service],C2,T_Budget[Catégorie],D2)</calculatedColumnFormula>
    </tableColumn>
    <tableColumn id="6" xr3:uid="{930FF6C8-6CE8-460C-8A91-DFEB602997AE}" name="Dépenses réelles" dataDxfId="21">
      <calculatedColumnFormula>SUMIFS(T_Depenses[Montant],T_Depenses[Exercice],A2,T_Depenses[Mois],B2,T_Depenses[Service],C2,T_Depenses[Catégorie],D2)</calculatedColumnFormula>
    </tableColumn>
    <tableColumn id="7" xr3:uid="{A6D38013-95A4-48AE-84AD-2FBDBA52BFC6}" name="Ecart" dataDxfId="20">
      <calculatedColumnFormula>E2-F2</calculatedColumnFormula>
    </tableColumn>
    <tableColumn id="8" xr3:uid="{0B32C3AC-85A5-4ED3-ACCB-BC4DBDF42335}" name="Taux d'ecéution" dataDxfId="19">
      <calculatedColumnFormula>IF(E2=0,0,F2/E2)</calculatedColumnFormula>
    </tableColumn>
    <tableColumn id="9" xr3:uid="{D162D8A2-7389-4BC4-A6C8-F1F329A58CD5}" name="Engagements" dataDxfId="18">
      <calculatedColumnFormula>SUMIFS(T_Engagements[Montant engagé],T_Engagements[Exercice],A2,T_Engagements[Mois],B2,T_Engagements[Service],C2,T_Engagements[Catégorie],D2)</calculatedColumnFormula>
    </tableColumn>
    <tableColumn id="10" xr3:uid="{13417F30-8B73-4049-B30A-50B4E918677F}" name="Budget disponible" dataDxfId="17">
      <calculatedColumnFormula>E2-F2-I2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5D3A-6847-4411-B4F8-C82F27365F9D}">
  <dimension ref="B2:H15"/>
  <sheetViews>
    <sheetView showGridLines="0" workbookViewId="0">
      <selection activeCell="H7" sqref="H7"/>
    </sheetView>
  </sheetViews>
  <sheetFormatPr baseColWidth="10" defaultRowHeight="14.4" x14ac:dyDescent="0.3"/>
  <cols>
    <col min="2" max="2" width="26.44140625" customWidth="1"/>
    <col min="4" max="4" width="31.33203125" customWidth="1"/>
    <col min="6" max="6" width="26.77734375" customWidth="1"/>
  </cols>
  <sheetData>
    <row r="2" spans="2:8" x14ac:dyDescent="0.3">
      <c r="B2" s="33" t="s">
        <v>147</v>
      </c>
      <c r="C2" s="33"/>
      <c r="D2" s="33"/>
      <c r="E2" s="33"/>
      <c r="F2" s="33"/>
      <c r="G2" s="33"/>
      <c r="H2" s="33"/>
    </row>
    <row r="3" spans="2:8" x14ac:dyDescent="0.3">
      <c r="B3" s="33"/>
      <c r="C3" s="33"/>
      <c r="D3" s="33"/>
      <c r="E3" s="33"/>
      <c r="F3" s="33"/>
      <c r="G3" s="33"/>
      <c r="H3" s="33"/>
    </row>
    <row r="4" spans="2:8" ht="15" thickBot="1" x14ac:dyDescent="0.35">
      <c r="B4" s="34" t="s">
        <v>148</v>
      </c>
      <c r="C4" s="34"/>
      <c r="D4" s="34"/>
      <c r="E4" s="34"/>
      <c r="F4" s="34"/>
      <c r="G4" s="34"/>
      <c r="H4" s="34"/>
    </row>
    <row r="5" spans="2:8" x14ac:dyDescent="0.3">
      <c r="B5" s="20"/>
      <c r="C5" s="21"/>
      <c r="D5" s="21"/>
      <c r="E5" s="21"/>
      <c r="F5" s="22"/>
    </row>
    <row r="6" spans="2:8" ht="6" customHeight="1" x14ac:dyDescent="0.3">
      <c r="B6" s="23"/>
      <c r="F6" s="24"/>
    </row>
    <row r="7" spans="2:8" ht="28.8" customHeight="1" x14ac:dyDescent="0.3">
      <c r="B7" s="23"/>
      <c r="F7" s="24"/>
    </row>
    <row r="8" spans="2:8" ht="7.2" customHeight="1" x14ac:dyDescent="0.3">
      <c r="B8" s="23"/>
      <c r="F8" s="24"/>
    </row>
    <row r="9" spans="2:8" ht="35.4" customHeight="1" x14ac:dyDescent="0.3">
      <c r="B9" s="23"/>
      <c r="F9" s="24"/>
    </row>
    <row r="10" spans="2:8" x14ac:dyDescent="0.3">
      <c r="B10" s="23"/>
      <c r="F10" s="24"/>
    </row>
    <row r="11" spans="2:8" x14ac:dyDescent="0.3">
      <c r="B11" s="23"/>
      <c r="F11" s="24"/>
    </row>
    <row r="12" spans="2:8" ht="36" customHeight="1" x14ac:dyDescent="0.3">
      <c r="B12" s="23"/>
      <c r="F12" s="24"/>
    </row>
    <row r="13" spans="2:8" x14ac:dyDescent="0.3">
      <c r="B13" s="23"/>
      <c r="F13" s="24"/>
    </row>
    <row r="14" spans="2:8" x14ac:dyDescent="0.3">
      <c r="B14" s="23"/>
      <c r="F14" s="24"/>
    </row>
    <row r="15" spans="2:8" ht="35.4" customHeight="1" thickBot="1" x14ac:dyDescent="0.35">
      <c r="B15" s="25"/>
      <c r="C15" s="26"/>
      <c r="D15" s="26"/>
      <c r="E15" s="26"/>
      <c r="F15" s="27"/>
    </row>
  </sheetData>
  <mergeCells count="2">
    <mergeCell ref="B2:H3"/>
    <mergeCell ref="B4:H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C9A8-271C-47B8-A5F1-4614DD5990DE}">
  <dimension ref="A1:G12"/>
  <sheetViews>
    <sheetView workbookViewId="0">
      <selection activeCell="C19" sqref="C19"/>
    </sheetView>
  </sheetViews>
  <sheetFormatPr baseColWidth="10" defaultRowHeight="14.4" x14ac:dyDescent="0.3"/>
  <cols>
    <col min="1" max="1" width="20.33203125" customWidth="1"/>
    <col min="3" max="3" width="19.77734375" customWidth="1"/>
    <col min="6" max="6" width="8.33203125" customWidth="1"/>
    <col min="7" max="7" width="18.109375" customWidth="1"/>
  </cols>
  <sheetData>
    <row r="1" spans="1:7" x14ac:dyDescent="0.3">
      <c r="A1" t="s">
        <v>0</v>
      </c>
      <c r="C1" t="s">
        <v>12</v>
      </c>
      <c r="E1" t="s">
        <v>19</v>
      </c>
      <c r="G1" t="s">
        <v>24</v>
      </c>
    </row>
    <row r="2" spans="1:7" x14ac:dyDescent="0.3">
      <c r="A2" t="s">
        <v>1</v>
      </c>
      <c r="C2" t="s">
        <v>13</v>
      </c>
      <c r="E2" t="s">
        <v>20</v>
      </c>
      <c r="G2" t="s">
        <v>25</v>
      </c>
    </row>
    <row r="3" spans="1:7" x14ac:dyDescent="0.3">
      <c r="A3" t="s">
        <v>2</v>
      </c>
      <c r="C3" t="s">
        <v>14</v>
      </c>
      <c r="E3" t="s">
        <v>21</v>
      </c>
      <c r="G3" t="s">
        <v>26</v>
      </c>
    </row>
    <row r="4" spans="1:7" x14ac:dyDescent="0.3">
      <c r="A4" t="s">
        <v>3</v>
      </c>
      <c r="C4" t="s">
        <v>15</v>
      </c>
      <c r="E4" t="s">
        <v>22</v>
      </c>
      <c r="G4" t="s">
        <v>27</v>
      </c>
    </row>
    <row r="5" spans="1:7" x14ac:dyDescent="0.3">
      <c r="A5" t="s">
        <v>4</v>
      </c>
      <c r="C5" t="s">
        <v>9</v>
      </c>
      <c r="E5" t="s">
        <v>23</v>
      </c>
      <c r="G5" t="s">
        <v>28</v>
      </c>
    </row>
    <row r="6" spans="1:7" x14ac:dyDescent="0.3">
      <c r="A6" t="s">
        <v>5</v>
      </c>
      <c r="C6" t="s">
        <v>16</v>
      </c>
      <c r="G6" t="s">
        <v>29</v>
      </c>
    </row>
    <row r="7" spans="1:7" x14ac:dyDescent="0.3">
      <c r="A7" t="s">
        <v>6</v>
      </c>
      <c r="C7" t="s">
        <v>17</v>
      </c>
    </row>
    <row r="8" spans="1:7" x14ac:dyDescent="0.3">
      <c r="A8" t="s">
        <v>7</v>
      </c>
      <c r="C8" t="s">
        <v>18</v>
      </c>
    </row>
    <row r="9" spans="1:7" x14ac:dyDescent="0.3">
      <c r="A9" t="s">
        <v>8</v>
      </c>
    </row>
    <row r="10" spans="1:7" x14ac:dyDescent="0.3">
      <c r="A10" t="s">
        <v>9</v>
      </c>
    </row>
    <row r="11" spans="1:7" x14ac:dyDescent="0.3">
      <c r="A11" t="s">
        <v>10</v>
      </c>
    </row>
    <row r="12" spans="1:7" x14ac:dyDescent="0.3">
      <c r="A12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2660-05C4-44C1-80DC-F02A05F60B7D}">
  <dimension ref="A1:H6"/>
  <sheetViews>
    <sheetView workbookViewId="0"/>
  </sheetViews>
  <sheetFormatPr baseColWidth="10" defaultRowHeight="14.4" x14ac:dyDescent="0.3"/>
  <cols>
    <col min="4" max="4" width="18.44140625" customWidth="1"/>
    <col min="6" max="6" width="15" customWidth="1"/>
    <col min="7" max="7" width="16.88671875" customWidth="1"/>
    <col min="8" max="8" width="15.6640625" style="3" customWidth="1"/>
  </cols>
  <sheetData>
    <row r="1" spans="1:8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s="3" t="s">
        <v>69</v>
      </c>
    </row>
    <row r="2" spans="1:8" x14ac:dyDescent="0.3">
      <c r="A2" t="s">
        <v>70</v>
      </c>
      <c r="B2">
        <v>2026</v>
      </c>
      <c r="C2" t="s">
        <v>75</v>
      </c>
      <c r="D2" t="s">
        <v>9</v>
      </c>
      <c r="E2" t="s">
        <v>9</v>
      </c>
      <c r="F2" t="s">
        <v>78</v>
      </c>
      <c r="G2" t="s">
        <v>80</v>
      </c>
      <c r="H2" s="3">
        <v>5000000</v>
      </c>
    </row>
    <row r="3" spans="1:8" x14ac:dyDescent="0.3">
      <c r="A3" t="s">
        <v>71</v>
      </c>
      <c r="B3">
        <v>2026</v>
      </c>
      <c r="C3" t="s">
        <v>75</v>
      </c>
      <c r="D3" t="s">
        <v>18</v>
      </c>
      <c r="E3" t="s">
        <v>1</v>
      </c>
      <c r="F3" t="s">
        <v>79</v>
      </c>
      <c r="G3" t="s">
        <v>1</v>
      </c>
      <c r="H3" s="3">
        <v>2000000</v>
      </c>
    </row>
    <row r="4" spans="1:8" x14ac:dyDescent="0.3">
      <c r="A4" t="s">
        <v>72</v>
      </c>
      <c r="B4">
        <v>2026</v>
      </c>
      <c r="C4" t="s">
        <v>76</v>
      </c>
      <c r="D4" t="s">
        <v>14</v>
      </c>
      <c r="E4" t="s">
        <v>2</v>
      </c>
      <c r="F4" t="s">
        <v>79</v>
      </c>
      <c r="G4" t="s">
        <v>81</v>
      </c>
      <c r="H4" s="3">
        <v>1500000</v>
      </c>
    </row>
    <row r="5" spans="1:8" x14ac:dyDescent="0.3">
      <c r="A5" t="s">
        <v>73</v>
      </c>
      <c r="B5">
        <v>2026</v>
      </c>
      <c r="C5" t="s">
        <v>76</v>
      </c>
      <c r="D5" t="s">
        <v>9</v>
      </c>
      <c r="E5" t="s">
        <v>8</v>
      </c>
      <c r="F5" t="s">
        <v>79</v>
      </c>
      <c r="G5" t="s">
        <v>82</v>
      </c>
      <c r="H5" s="3">
        <v>1000000</v>
      </c>
    </row>
    <row r="6" spans="1:8" x14ac:dyDescent="0.3">
      <c r="A6" t="s">
        <v>74</v>
      </c>
      <c r="B6">
        <v>2026</v>
      </c>
      <c r="C6" t="s">
        <v>77</v>
      </c>
      <c r="D6" t="s">
        <v>15</v>
      </c>
      <c r="E6" t="s">
        <v>7</v>
      </c>
      <c r="F6" t="s">
        <v>79</v>
      </c>
      <c r="G6" t="s">
        <v>7</v>
      </c>
      <c r="H6" s="3">
        <v>8000000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B106-9A33-4C90-9CED-09017E18EC28}">
  <dimension ref="A1:M16"/>
  <sheetViews>
    <sheetView topLeftCell="G1" workbookViewId="0">
      <selection activeCell="L10" sqref="L10"/>
    </sheetView>
  </sheetViews>
  <sheetFormatPr baseColWidth="10" defaultRowHeight="14.4" x14ac:dyDescent="0.3"/>
  <cols>
    <col min="1" max="1" width="12.33203125" customWidth="1"/>
    <col min="7" max="7" width="19.88671875" customWidth="1"/>
    <col min="8" max="8" width="18.21875" customWidth="1"/>
    <col min="11" max="11" width="22.33203125" customWidth="1"/>
    <col min="13" max="13" width="17.33203125" style="31" customWidth="1"/>
  </cols>
  <sheetData>
    <row r="1" spans="1:13" x14ac:dyDescent="0.3">
      <c r="A1" t="s">
        <v>83</v>
      </c>
      <c r="B1" t="s">
        <v>84</v>
      </c>
      <c r="C1" t="s">
        <v>63</v>
      </c>
      <c r="D1" t="s">
        <v>64</v>
      </c>
      <c r="E1" t="s">
        <v>65</v>
      </c>
      <c r="F1" t="s">
        <v>66</v>
      </c>
      <c r="G1" t="s">
        <v>85</v>
      </c>
      <c r="H1" t="s">
        <v>86</v>
      </c>
      <c r="I1" t="s">
        <v>87</v>
      </c>
      <c r="J1" t="s">
        <v>88</v>
      </c>
      <c r="K1" t="s">
        <v>24</v>
      </c>
      <c r="L1" t="s">
        <v>19</v>
      </c>
      <c r="M1" s="31" t="s">
        <v>157</v>
      </c>
    </row>
    <row r="2" spans="1:13" x14ac:dyDescent="0.3">
      <c r="A2" t="s">
        <v>89</v>
      </c>
      <c r="B2" s="4">
        <v>46027</v>
      </c>
      <c r="C2">
        <v>2026</v>
      </c>
      <c r="D2" t="s">
        <v>75</v>
      </c>
      <c r="E2" t="s">
        <v>9</v>
      </c>
      <c r="F2" t="s">
        <v>9</v>
      </c>
      <c r="G2" t="s">
        <v>93</v>
      </c>
      <c r="H2" t="s">
        <v>97</v>
      </c>
      <c r="I2" t="s">
        <v>99</v>
      </c>
      <c r="J2" s="3">
        <v>1500000</v>
      </c>
      <c r="K2" t="s">
        <v>26</v>
      </c>
      <c r="L2" t="s">
        <v>22</v>
      </c>
    </row>
    <row r="3" spans="1:13" x14ac:dyDescent="0.3">
      <c r="A3" t="s">
        <v>90</v>
      </c>
      <c r="B3" s="4">
        <v>46032</v>
      </c>
      <c r="C3">
        <v>2026</v>
      </c>
      <c r="D3" t="s">
        <v>75</v>
      </c>
      <c r="E3" t="s">
        <v>18</v>
      </c>
      <c r="F3" t="s">
        <v>1</v>
      </c>
      <c r="G3" t="s">
        <v>94</v>
      </c>
      <c r="H3" t="s">
        <v>98</v>
      </c>
      <c r="I3" t="s">
        <v>100</v>
      </c>
      <c r="J3" s="3">
        <v>500000</v>
      </c>
      <c r="K3" t="s">
        <v>25</v>
      </c>
      <c r="L3" t="s">
        <v>22</v>
      </c>
    </row>
    <row r="4" spans="1:13" x14ac:dyDescent="0.3">
      <c r="A4" t="s">
        <v>91</v>
      </c>
      <c r="B4" s="4">
        <v>46068</v>
      </c>
      <c r="C4">
        <v>2026</v>
      </c>
      <c r="D4" t="s">
        <v>76</v>
      </c>
      <c r="E4" t="s">
        <v>14</v>
      </c>
      <c r="F4" t="s">
        <v>2</v>
      </c>
      <c r="G4" t="s">
        <v>95</v>
      </c>
      <c r="H4" t="s">
        <v>47</v>
      </c>
      <c r="I4" t="s">
        <v>101</v>
      </c>
      <c r="J4" s="3">
        <v>350000</v>
      </c>
      <c r="K4" t="s">
        <v>26</v>
      </c>
      <c r="L4" t="s">
        <v>22</v>
      </c>
    </row>
    <row r="5" spans="1:13" x14ac:dyDescent="0.3">
      <c r="A5" t="s">
        <v>92</v>
      </c>
      <c r="B5" s="4">
        <v>46073</v>
      </c>
      <c r="C5">
        <v>2026</v>
      </c>
      <c r="D5" t="s">
        <v>76</v>
      </c>
      <c r="E5" t="s">
        <v>9</v>
      </c>
      <c r="F5" t="s">
        <v>8</v>
      </c>
      <c r="G5" t="s">
        <v>96</v>
      </c>
      <c r="H5" t="s">
        <v>43</v>
      </c>
      <c r="I5" t="s">
        <v>102</v>
      </c>
      <c r="J5" s="3">
        <v>250000</v>
      </c>
      <c r="K5" t="s">
        <v>29</v>
      </c>
      <c r="L5" t="s">
        <v>103</v>
      </c>
    </row>
    <row r="16" spans="1:13" x14ac:dyDescent="0.3">
      <c r="A16" t="s">
        <v>158</v>
      </c>
    </row>
  </sheetData>
  <phoneticPr fontId="2" type="noConversion"/>
  <conditionalFormatting sqref="M1:M1048576">
    <cfRule type="expression" dxfId="16" priority="1">
      <formula>AND($L2&lt;&gt;"Payé",$M2&lt;&gt;"")</formula>
    </cfRule>
    <cfRule type="expression" dxfId="15" priority="2">
      <formula>AND($L2="Payé",$M2="")</formula>
    </cfRule>
  </conditionalFormatting>
  <dataValidations count="3">
    <dataValidation type="list" allowBlank="1" showInputMessage="1" showErrorMessage="1" sqref="K2:K100" xr:uid="{D73B7571-1F13-4BAC-A1BB-CB869A72EBB6}">
      <formula1>"Espèces,Virement,Chèque,Carte bancaire,Mobile Money"</formula1>
    </dataValidation>
    <dataValidation type="list" allowBlank="1" showInputMessage="1" showErrorMessage="1" sqref="L2:L100" xr:uid="{C0389083-0F89-423C-B271-03A2A0283296}">
      <formula1>"Payé,En attente,Annulé"</formula1>
    </dataValidation>
    <dataValidation type="list" allowBlank="1" showInputMessage="1" showErrorMessage="1" sqref="H2:H100" xr:uid="{8D952CCC-E110-4C0B-BFFD-DD9B81344895}">
      <formula1>Liste_Fournisseurs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37E1-5D51-4077-A0C7-A2CEB6A83CEC}">
  <dimension ref="A1:K4"/>
  <sheetViews>
    <sheetView workbookViewId="0">
      <selection activeCell="G27" sqref="G27"/>
    </sheetView>
  </sheetViews>
  <sheetFormatPr baseColWidth="10" defaultRowHeight="14.4" x14ac:dyDescent="0.3"/>
  <cols>
    <col min="1" max="1" width="15.6640625" customWidth="1"/>
    <col min="6" max="6" width="14.109375" customWidth="1"/>
    <col min="7" max="7" width="18" customWidth="1"/>
    <col min="8" max="8" width="16.33203125" customWidth="1"/>
    <col min="9" max="9" width="14.6640625" customWidth="1"/>
    <col min="10" max="10" width="18.88671875" customWidth="1"/>
  </cols>
  <sheetData>
    <row r="1" spans="1:11" x14ac:dyDescent="0.3">
      <c r="A1" t="s">
        <v>109</v>
      </c>
      <c r="B1" t="s">
        <v>84</v>
      </c>
      <c r="C1" t="s">
        <v>63</v>
      </c>
      <c r="D1" t="s">
        <v>64</v>
      </c>
      <c r="E1" t="s">
        <v>65</v>
      </c>
      <c r="F1" t="s">
        <v>66</v>
      </c>
      <c r="G1" t="s">
        <v>85</v>
      </c>
      <c r="H1" t="s">
        <v>86</v>
      </c>
      <c r="I1" t="s">
        <v>110</v>
      </c>
      <c r="J1" t="s">
        <v>111</v>
      </c>
      <c r="K1" t="s">
        <v>19</v>
      </c>
    </row>
    <row r="2" spans="1:11" x14ac:dyDescent="0.3">
      <c r="A2" t="s">
        <v>112</v>
      </c>
      <c r="B2" s="4">
        <v>46030</v>
      </c>
      <c r="C2">
        <v>2026</v>
      </c>
      <c r="D2" t="s">
        <v>75</v>
      </c>
      <c r="E2" t="s">
        <v>9</v>
      </c>
      <c r="F2" t="s">
        <v>9</v>
      </c>
      <c r="G2" t="s">
        <v>80</v>
      </c>
      <c r="H2" t="s">
        <v>97</v>
      </c>
      <c r="I2" t="s">
        <v>117</v>
      </c>
      <c r="J2" s="3">
        <v>2000000</v>
      </c>
      <c r="K2" t="s">
        <v>21</v>
      </c>
    </row>
    <row r="3" spans="1:11" x14ac:dyDescent="0.3">
      <c r="A3" t="s">
        <v>113</v>
      </c>
      <c r="B3" s="4">
        <v>46034</v>
      </c>
      <c r="C3">
        <v>2026</v>
      </c>
      <c r="D3" t="s">
        <v>75</v>
      </c>
      <c r="E3" t="s">
        <v>1</v>
      </c>
      <c r="F3" t="s">
        <v>1</v>
      </c>
      <c r="G3" t="s">
        <v>116</v>
      </c>
      <c r="H3" t="s">
        <v>98</v>
      </c>
      <c r="I3" t="s">
        <v>118</v>
      </c>
      <c r="J3" s="3">
        <v>800000</v>
      </c>
      <c r="K3" t="s">
        <v>21</v>
      </c>
    </row>
    <row r="4" spans="1:11" x14ac:dyDescent="0.3">
      <c r="A4" t="s">
        <v>114</v>
      </c>
      <c r="B4" s="4">
        <v>46071</v>
      </c>
      <c r="C4">
        <v>2026</v>
      </c>
      <c r="D4" t="s">
        <v>76</v>
      </c>
      <c r="E4" t="s">
        <v>2</v>
      </c>
      <c r="F4" t="s">
        <v>2</v>
      </c>
      <c r="G4" t="s">
        <v>115</v>
      </c>
      <c r="H4" t="s">
        <v>47</v>
      </c>
      <c r="I4" t="s">
        <v>119</v>
      </c>
      <c r="J4" s="3">
        <v>500000</v>
      </c>
      <c r="K4" t="s">
        <v>21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55D-1665-4D40-AE08-A9707F283F78}">
  <dimension ref="A1:O102"/>
  <sheetViews>
    <sheetView zoomScale="90" zoomScaleNormal="90" workbookViewId="0">
      <selection activeCell="W18" sqref="W18"/>
    </sheetView>
  </sheetViews>
  <sheetFormatPr baseColWidth="10" defaultRowHeight="14.4" x14ac:dyDescent="0.3"/>
  <cols>
    <col min="1" max="1" width="16.109375" customWidth="1"/>
    <col min="2" max="2" width="19.5546875" customWidth="1"/>
    <col min="5" max="5" width="11.77734375" customWidth="1"/>
    <col min="6" max="6" width="25.33203125" customWidth="1"/>
    <col min="8" max="8" width="22.88671875" customWidth="1"/>
    <col min="10" max="10" width="18.77734375" style="31" customWidth="1"/>
    <col min="11" max="11" width="15.77734375" style="31" customWidth="1"/>
    <col min="12" max="12" width="15.109375" style="3" customWidth="1"/>
    <col min="13" max="13" width="16.5546875" style="3" customWidth="1"/>
    <col min="14" max="14" width="14.21875" style="3" bestFit="1" customWidth="1"/>
    <col min="15" max="15" width="19.77734375" customWidth="1"/>
  </cols>
  <sheetData>
    <row r="1" spans="1:15" ht="23.4" customHeight="1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19</v>
      </c>
      <c r="J1" s="32" t="s">
        <v>150</v>
      </c>
      <c r="K1" s="31" t="s">
        <v>151</v>
      </c>
      <c r="L1" s="3" t="s">
        <v>152</v>
      </c>
      <c r="M1" s="3" t="s">
        <v>153</v>
      </c>
      <c r="N1" s="3" t="s">
        <v>154</v>
      </c>
      <c r="O1" t="s">
        <v>155</v>
      </c>
    </row>
    <row r="2" spans="1:15" x14ac:dyDescent="0.3">
      <c r="A2" t="s">
        <v>38</v>
      </c>
      <c r="B2" t="s">
        <v>47</v>
      </c>
      <c r="C2" t="s">
        <v>2</v>
      </c>
      <c r="D2" t="s">
        <v>52</v>
      </c>
      <c r="E2">
        <v>97000001</v>
      </c>
      <c r="F2" t="s">
        <v>53</v>
      </c>
      <c r="G2" t="s">
        <v>58</v>
      </c>
      <c r="H2">
        <v>2</v>
      </c>
      <c r="I2" t="s">
        <v>61</v>
      </c>
      <c r="J2" s="31">
        <v>46266</v>
      </c>
      <c r="K2" s="31">
        <f t="shared" ref="K2:K65" si="0">IF(J2="","",IF(H2="Comptant",J2,J2+H2))</f>
        <v>46268</v>
      </c>
      <c r="L2" s="3">
        <v>1000000</v>
      </c>
      <c r="M2" s="3">
        <v>300000</v>
      </c>
      <c r="N2" s="3">
        <f t="shared" ref="N2:N6" si="1">IF(L2="","",L2-M2)</f>
        <v>700000</v>
      </c>
      <c r="O2" t="str">
        <f ca="1">IF(K2="","",IF(N2&lt;=0,"Payé",IF(AND(M2&gt;0,N2&gt;0),"Partiellement payé",IF(K2&lt;TODAY(),"Échu",IF(K2-TODAY()&lt;=7,"Échéance proche","À venir")))))</f>
        <v>Partiellement payé</v>
      </c>
    </row>
    <row r="3" spans="1:15" x14ac:dyDescent="0.3">
      <c r="A3" t="s">
        <v>39</v>
      </c>
      <c r="B3" t="s">
        <v>46</v>
      </c>
      <c r="C3" t="s">
        <v>9</v>
      </c>
      <c r="D3" t="s">
        <v>51</v>
      </c>
      <c r="E3">
        <v>96000002</v>
      </c>
      <c r="F3" t="s">
        <v>54</v>
      </c>
      <c r="G3" t="s">
        <v>59</v>
      </c>
      <c r="H3">
        <v>30</v>
      </c>
      <c r="I3" t="s">
        <v>61</v>
      </c>
      <c r="J3" s="31">
        <v>46266</v>
      </c>
      <c r="K3" s="31">
        <f t="shared" si="0"/>
        <v>46296</v>
      </c>
      <c r="L3" s="3">
        <v>1000000</v>
      </c>
      <c r="M3" s="3">
        <v>3</v>
      </c>
      <c r="N3" s="3">
        <f t="shared" si="1"/>
        <v>999997</v>
      </c>
      <c r="O3" t="str">
        <f t="shared" ref="O3:O6" ca="1" si="2">IF(K3="","",IF(N3&lt;=0,"Payé",IF(AND(M3&gt;0,N3&gt;0),"Partiellement payé",IF(K3&lt;TODAY(),"Échu",IF(K3-TODAY()&lt;=7,"Échéance proche","À venir")))))</f>
        <v>Partiellement payé</v>
      </c>
    </row>
    <row r="4" spans="1:15" x14ac:dyDescent="0.3">
      <c r="A4" t="s">
        <v>40</v>
      </c>
      <c r="B4" t="s">
        <v>45</v>
      </c>
      <c r="C4" t="s">
        <v>1</v>
      </c>
      <c r="D4" t="s">
        <v>50</v>
      </c>
      <c r="E4">
        <v>95000003</v>
      </c>
      <c r="F4" t="s">
        <v>55</v>
      </c>
      <c r="G4" t="s">
        <v>58</v>
      </c>
      <c r="H4" t="s">
        <v>60</v>
      </c>
      <c r="I4" t="s">
        <v>61</v>
      </c>
      <c r="K4" s="31" t="str">
        <f t="shared" si="0"/>
        <v/>
      </c>
      <c r="N4" s="3" t="str">
        <f t="shared" si="1"/>
        <v/>
      </c>
      <c r="O4" t="str">
        <f t="shared" ca="1" si="2"/>
        <v/>
      </c>
    </row>
    <row r="5" spans="1:15" x14ac:dyDescent="0.3">
      <c r="A5" t="s">
        <v>41</v>
      </c>
      <c r="B5" t="s">
        <v>44</v>
      </c>
      <c r="C5" t="s">
        <v>3</v>
      </c>
      <c r="D5" t="s">
        <v>49</v>
      </c>
      <c r="E5">
        <v>94000004</v>
      </c>
      <c r="F5" t="s">
        <v>56</v>
      </c>
      <c r="G5" t="s">
        <v>59</v>
      </c>
      <c r="H5">
        <v>15</v>
      </c>
      <c r="I5" t="s">
        <v>61</v>
      </c>
      <c r="K5" s="31" t="str">
        <f t="shared" si="0"/>
        <v/>
      </c>
      <c r="N5" s="3" t="str">
        <f t="shared" si="1"/>
        <v/>
      </c>
      <c r="O5" t="str">
        <f t="shared" ca="1" si="2"/>
        <v/>
      </c>
    </row>
    <row r="6" spans="1:15" x14ac:dyDescent="0.3">
      <c r="K6" s="31" t="str">
        <f t="shared" si="0"/>
        <v/>
      </c>
      <c r="N6" s="3" t="str">
        <f t="shared" si="1"/>
        <v/>
      </c>
      <c r="O6" t="str">
        <f t="shared" ca="1" si="2"/>
        <v/>
      </c>
    </row>
    <row r="7" spans="1:15" x14ac:dyDescent="0.3">
      <c r="K7" s="31" t="str">
        <f t="shared" si="0"/>
        <v/>
      </c>
      <c r="N7" s="3" t="str">
        <f>IF(L7="","",L7-M7)</f>
        <v/>
      </c>
      <c r="O7" t="str">
        <f ca="1">IF(K7="","",IF(N7&lt;=0,"Payé",IF(AND(M7&gt;0,N7&gt;0),"Partiellement payé",IF(K7&lt;TODAY(),"Échu",IF(K7-TODAY()&lt;=7,"Échéance proche","À venir")))))</f>
        <v/>
      </c>
    </row>
    <row r="8" spans="1:15" x14ac:dyDescent="0.3">
      <c r="K8" s="31" t="str">
        <f t="shared" si="0"/>
        <v/>
      </c>
      <c r="N8" s="3" t="str">
        <f t="shared" ref="N8:N39" si="3">IF(L8="","",L8-M8)</f>
        <v/>
      </c>
      <c r="O8" t="str">
        <f t="shared" ref="O8:O39" ca="1" si="4">IF(K8="","",IF(N8&lt;=0,"Payé",IF(AND(M8&gt;0,N8&gt;0),"Partiellement payé",IF(K8&lt;TODAY(),"Échu",IF(K8-TODAY()&lt;=7,"Échéance proche","À venir")))))</f>
        <v/>
      </c>
    </row>
    <row r="9" spans="1:15" x14ac:dyDescent="0.3">
      <c r="K9" s="31" t="str">
        <f t="shared" si="0"/>
        <v/>
      </c>
      <c r="N9" s="3" t="str">
        <f t="shared" si="3"/>
        <v/>
      </c>
      <c r="O9" t="str">
        <f t="shared" ca="1" si="4"/>
        <v/>
      </c>
    </row>
    <row r="10" spans="1:15" x14ac:dyDescent="0.3">
      <c r="K10" s="31" t="str">
        <f t="shared" si="0"/>
        <v/>
      </c>
      <c r="N10" s="3" t="str">
        <f t="shared" si="3"/>
        <v/>
      </c>
      <c r="O10" t="str">
        <f t="shared" ca="1" si="4"/>
        <v/>
      </c>
    </row>
    <row r="11" spans="1:15" x14ac:dyDescent="0.3">
      <c r="K11" s="31" t="str">
        <f t="shared" si="0"/>
        <v/>
      </c>
      <c r="N11" s="3" t="str">
        <f t="shared" si="3"/>
        <v/>
      </c>
      <c r="O11" t="str">
        <f t="shared" ca="1" si="4"/>
        <v/>
      </c>
    </row>
    <row r="12" spans="1:15" x14ac:dyDescent="0.3">
      <c r="K12" s="31" t="str">
        <f t="shared" si="0"/>
        <v/>
      </c>
      <c r="N12" s="3" t="str">
        <f t="shared" si="3"/>
        <v/>
      </c>
      <c r="O12" t="str">
        <f t="shared" ca="1" si="4"/>
        <v/>
      </c>
    </row>
    <row r="13" spans="1:15" x14ac:dyDescent="0.3">
      <c r="K13" s="31" t="str">
        <f t="shared" si="0"/>
        <v/>
      </c>
      <c r="N13" s="3" t="str">
        <f t="shared" si="3"/>
        <v/>
      </c>
      <c r="O13" t="str">
        <f t="shared" ca="1" si="4"/>
        <v/>
      </c>
    </row>
    <row r="14" spans="1:15" x14ac:dyDescent="0.3">
      <c r="K14" s="31" t="str">
        <f t="shared" si="0"/>
        <v/>
      </c>
      <c r="N14" s="3" t="str">
        <f t="shared" si="3"/>
        <v/>
      </c>
      <c r="O14" t="str">
        <f t="shared" ca="1" si="4"/>
        <v/>
      </c>
    </row>
    <row r="15" spans="1:15" x14ac:dyDescent="0.3">
      <c r="K15" s="31" t="str">
        <f t="shared" si="0"/>
        <v/>
      </c>
      <c r="N15" s="3" t="str">
        <f t="shared" si="3"/>
        <v/>
      </c>
      <c r="O15" t="str">
        <f t="shared" ca="1" si="4"/>
        <v/>
      </c>
    </row>
    <row r="16" spans="1:15" x14ac:dyDescent="0.3">
      <c r="K16" s="31" t="str">
        <f t="shared" si="0"/>
        <v/>
      </c>
      <c r="N16" s="3" t="str">
        <f t="shared" si="3"/>
        <v/>
      </c>
      <c r="O16" t="str">
        <f t="shared" ca="1" si="4"/>
        <v/>
      </c>
    </row>
    <row r="17" spans="11:15" x14ac:dyDescent="0.3">
      <c r="K17" s="31" t="str">
        <f t="shared" si="0"/>
        <v/>
      </c>
      <c r="N17" s="3" t="str">
        <f t="shared" si="3"/>
        <v/>
      </c>
      <c r="O17" t="str">
        <f t="shared" ca="1" si="4"/>
        <v/>
      </c>
    </row>
    <row r="18" spans="11:15" x14ac:dyDescent="0.3">
      <c r="K18" s="31" t="str">
        <f t="shared" si="0"/>
        <v/>
      </c>
      <c r="N18" s="3" t="str">
        <f t="shared" si="3"/>
        <v/>
      </c>
      <c r="O18" t="str">
        <f t="shared" ca="1" si="4"/>
        <v/>
      </c>
    </row>
    <row r="19" spans="11:15" x14ac:dyDescent="0.3">
      <c r="K19" s="31" t="str">
        <f t="shared" si="0"/>
        <v/>
      </c>
      <c r="N19" s="3" t="str">
        <f t="shared" si="3"/>
        <v/>
      </c>
      <c r="O19" t="str">
        <f t="shared" ca="1" si="4"/>
        <v/>
      </c>
    </row>
    <row r="20" spans="11:15" x14ac:dyDescent="0.3">
      <c r="K20" s="31" t="str">
        <f t="shared" si="0"/>
        <v/>
      </c>
      <c r="N20" s="3" t="str">
        <f t="shared" si="3"/>
        <v/>
      </c>
      <c r="O20" t="str">
        <f t="shared" ca="1" si="4"/>
        <v/>
      </c>
    </row>
    <row r="21" spans="11:15" x14ac:dyDescent="0.3">
      <c r="K21" s="31" t="str">
        <f t="shared" si="0"/>
        <v/>
      </c>
      <c r="N21" s="3" t="str">
        <f t="shared" si="3"/>
        <v/>
      </c>
      <c r="O21" t="str">
        <f t="shared" ca="1" si="4"/>
        <v/>
      </c>
    </row>
    <row r="22" spans="11:15" x14ac:dyDescent="0.3">
      <c r="K22" s="31" t="str">
        <f t="shared" si="0"/>
        <v/>
      </c>
      <c r="N22" s="3" t="str">
        <f t="shared" si="3"/>
        <v/>
      </c>
      <c r="O22" t="str">
        <f t="shared" ca="1" si="4"/>
        <v/>
      </c>
    </row>
    <row r="23" spans="11:15" x14ac:dyDescent="0.3">
      <c r="K23" s="31" t="str">
        <f t="shared" si="0"/>
        <v/>
      </c>
      <c r="N23" s="3" t="str">
        <f t="shared" si="3"/>
        <v/>
      </c>
      <c r="O23" t="str">
        <f t="shared" ca="1" si="4"/>
        <v/>
      </c>
    </row>
    <row r="24" spans="11:15" x14ac:dyDescent="0.3">
      <c r="K24" s="31" t="str">
        <f t="shared" si="0"/>
        <v/>
      </c>
      <c r="N24" s="3" t="str">
        <f t="shared" si="3"/>
        <v/>
      </c>
      <c r="O24" t="str">
        <f t="shared" ca="1" si="4"/>
        <v/>
      </c>
    </row>
    <row r="25" spans="11:15" x14ac:dyDescent="0.3">
      <c r="K25" s="31" t="str">
        <f t="shared" si="0"/>
        <v/>
      </c>
      <c r="N25" s="3" t="str">
        <f t="shared" si="3"/>
        <v/>
      </c>
      <c r="O25" t="str">
        <f t="shared" ca="1" si="4"/>
        <v/>
      </c>
    </row>
    <row r="26" spans="11:15" x14ac:dyDescent="0.3">
      <c r="K26" s="31" t="str">
        <f t="shared" si="0"/>
        <v/>
      </c>
      <c r="N26" s="3" t="str">
        <f t="shared" si="3"/>
        <v/>
      </c>
      <c r="O26" t="str">
        <f t="shared" ca="1" si="4"/>
        <v/>
      </c>
    </row>
    <row r="27" spans="11:15" x14ac:dyDescent="0.3">
      <c r="K27" s="31" t="str">
        <f t="shared" si="0"/>
        <v/>
      </c>
      <c r="N27" s="3" t="str">
        <f t="shared" si="3"/>
        <v/>
      </c>
      <c r="O27" t="str">
        <f t="shared" ca="1" si="4"/>
        <v/>
      </c>
    </row>
    <row r="28" spans="11:15" x14ac:dyDescent="0.3">
      <c r="K28" s="31" t="str">
        <f t="shared" si="0"/>
        <v/>
      </c>
      <c r="N28" s="3" t="str">
        <f t="shared" si="3"/>
        <v/>
      </c>
      <c r="O28" t="str">
        <f t="shared" ca="1" si="4"/>
        <v/>
      </c>
    </row>
    <row r="29" spans="11:15" x14ac:dyDescent="0.3">
      <c r="K29" s="31" t="str">
        <f t="shared" si="0"/>
        <v/>
      </c>
      <c r="N29" s="3" t="str">
        <f t="shared" si="3"/>
        <v/>
      </c>
      <c r="O29" t="str">
        <f t="shared" ca="1" si="4"/>
        <v/>
      </c>
    </row>
    <row r="30" spans="11:15" x14ac:dyDescent="0.3">
      <c r="K30" s="31" t="str">
        <f t="shared" si="0"/>
        <v/>
      </c>
      <c r="N30" s="3" t="str">
        <f t="shared" si="3"/>
        <v/>
      </c>
      <c r="O30" t="str">
        <f t="shared" ca="1" si="4"/>
        <v/>
      </c>
    </row>
    <row r="31" spans="11:15" x14ac:dyDescent="0.3">
      <c r="K31" s="31" t="str">
        <f t="shared" si="0"/>
        <v/>
      </c>
      <c r="N31" s="3" t="str">
        <f t="shared" si="3"/>
        <v/>
      </c>
      <c r="O31" t="str">
        <f t="shared" ca="1" si="4"/>
        <v/>
      </c>
    </row>
    <row r="32" spans="11:15" x14ac:dyDescent="0.3">
      <c r="K32" s="31" t="str">
        <f t="shared" si="0"/>
        <v/>
      </c>
      <c r="N32" s="3" t="str">
        <f t="shared" si="3"/>
        <v/>
      </c>
      <c r="O32" t="str">
        <f t="shared" ca="1" si="4"/>
        <v/>
      </c>
    </row>
    <row r="33" spans="11:15" x14ac:dyDescent="0.3">
      <c r="K33" s="31" t="str">
        <f t="shared" si="0"/>
        <v/>
      </c>
      <c r="N33" s="3" t="str">
        <f t="shared" si="3"/>
        <v/>
      </c>
      <c r="O33" t="str">
        <f t="shared" ca="1" si="4"/>
        <v/>
      </c>
    </row>
    <row r="34" spans="11:15" x14ac:dyDescent="0.3">
      <c r="K34" s="31" t="str">
        <f t="shared" si="0"/>
        <v/>
      </c>
      <c r="N34" s="3" t="str">
        <f t="shared" si="3"/>
        <v/>
      </c>
      <c r="O34" t="str">
        <f t="shared" ca="1" si="4"/>
        <v/>
      </c>
    </row>
    <row r="35" spans="11:15" x14ac:dyDescent="0.3">
      <c r="K35" s="31" t="str">
        <f t="shared" si="0"/>
        <v/>
      </c>
      <c r="N35" s="3" t="str">
        <f t="shared" si="3"/>
        <v/>
      </c>
      <c r="O35" t="str">
        <f t="shared" ca="1" si="4"/>
        <v/>
      </c>
    </row>
    <row r="36" spans="11:15" x14ac:dyDescent="0.3">
      <c r="K36" s="31" t="str">
        <f t="shared" si="0"/>
        <v/>
      </c>
      <c r="N36" s="3" t="str">
        <f t="shared" si="3"/>
        <v/>
      </c>
      <c r="O36" t="str">
        <f t="shared" ca="1" si="4"/>
        <v/>
      </c>
    </row>
    <row r="37" spans="11:15" x14ac:dyDescent="0.3">
      <c r="K37" s="31" t="str">
        <f t="shared" si="0"/>
        <v/>
      </c>
      <c r="N37" s="3" t="str">
        <f t="shared" si="3"/>
        <v/>
      </c>
      <c r="O37" t="str">
        <f t="shared" ca="1" si="4"/>
        <v/>
      </c>
    </row>
    <row r="38" spans="11:15" x14ac:dyDescent="0.3">
      <c r="K38" s="31" t="str">
        <f t="shared" si="0"/>
        <v/>
      </c>
      <c r="N38" s="3" t="str">
        <f t="shared" si="3"/>
        <v/>
      </c>
      <c r="O38" t="str">
        <f t="shared" ca="1" si="4"/>
        <v/>
      </c>
    </row>
    <row r="39" spans="11:15" x14ac:dyDescent="0.3">
      <c r="K39" s="31" t="str">
        <f t="shared" si="0"/>
        <v/>
      </c>
      <c r="N39" s="3" t="str">
        <f t="shared" si="3"/>
        <v/>
      </c>
      <c r="O39" t="str">
        <f t="shared" ca="1" si="4"/>
        <v/>
      </c>
    </row>
    <row r="40" spans="11:15" x14ac:dyDescent="0.3">
      <c r="K40" s="31" t="str">
        <f t="shared" si="0"/>
        <v/>
      </c>
      <c r="N40" s="3" t="str">
        <f t="shared" ref="N40:N71" si="5">IF(L40="","",L40-M40)</f>
        <v/>
      </c>
      <c r="O40" t="str">
        <f t="shared" ref="O40:O71" ca="1" si="6">IF(K40="","",IF(N40&lt;=0,"Payé",IF(AND(M40&gt;0,N40&gt;0),"Partiellement payé",IF(K40&lt;TODAY(),"Échu",IF(K40-TODAY()&lt;=7,"Échéance proche","À venir")))))</f>
        <v/>
      </c>
    </row>
    <row r="41" spans="11:15" x14ac:dyDescent="0.3">
      <c r="K41" s="31" t="str">
        <f t="shared" si="0"/>
        <v/>
      </c>
      <c r="N41" s="3" t="str">
        <f t="shared" si="5"/>
        <v/>
      </c>
      <c r="O41" t="str">
        <f t="shared" ca="1" si="6"/>
        <v/>
      </c>
    </row>
    <row r="42" spans="11:15" x14ac:dyDescent="0.3">
      <c r="K42" s="31" t="str">
        <f t="shared" si="0"/>
        <v/>
      </c>
      <c r="N42" s="3" t="str">
        <f t="shared" si="5"/>
        <v/>
      </c>
      <c r="O42" t="str">
        <f t="shared" ca="1" si="6"/>
        <v/>
      </c>
    </row>
    <row r="43" spans="11:15" x14ac:dyDescent="0.3">
      <c r="K43" s="31" t="str">
        <f t="shared" si="0"/>
        <v/>
      </c>
      <c r="N43" s="3" t="str">
        <f t="shared" si="5"/>
        <v/>
      </c>
      <c r="O43" t="str">
        <f t="shared" ca="1" si="6"/>
        <v/>
      </c>
    </row>
    <row r="44" spans="11:15" x14ac:dyDescent="0.3">
      <c r="K44" s="31" t="str">
        <f t="shared" si="0"/>
        <v/>
      </c>
      <c r="N44" s="3" t="str">
        <f t="shared" si="5"/>
        <v/>
      </c>
      <c r="O44" t="str">
        <f t="shared" ca="1" si="6"/>
        <v/>
      </c>
    </row>
    <row r="45" spans="11:15" x14ac:dyDescent="0.3">
      <c r="K45" s="31" t="str">
        <f t="shared" si="0"/>
        <v/>
      </c>
      <c r="N45" s="3" t="str">
        <f t="shared" si="5"/>
        <v/>
      </c>
      <c r="O45" t="str">
        <f t="shared" ca="1" si="6"/>
        <v/>
      </c>
    </row>
    <row r="46" spans="11:15" x14ac:dyDescent="0.3">
      <c r="K46" s="31" t="str">
        <f t="shared" si="0"/>
        <v/>
      </c>
      <c r="N46" s="3" t="str">
        <f t="shared" si="5"/>
        <v/>
      </c>
      <c r="O46" t="str">
        <f t="shared" ca="1" si="6"/>
        <v/>
      </c>
    </row>
    <row r="47" spans="11:15" x14ac:dyDescent="0.3">
      <c r="K47" s="31" t="str">
        <f t="shared" si="0"/>
        <v/>
      </c>
      <c r="N47" s="3" t="str">
        <f t="shared" si="5"/>
        <v/>
      </c>
      <c r="O47" t="str">
        <f t="shared" ca="1" si="6"/>
        <v/>
      </c>
    </row>
    <row r="48" spans="11:15" x14ac:dyDescent="0.3">
      <c r="K48" s="31" t="str">
        <f t="shared" si="0"/>
        <v/>
      </c>
      <c r="N48" s="3" t="str">
        <f t="shared" si="5"/>
        <v/>
      </c>
      <c r="O48" t="str">
        <f t="shared" ca="1" si="6"/>
        <v/>
      </c>
    </row>
    <row r="49" spans="11:15" x14ac:dyDescent="0.3">
      <c r="K49" s="31" t="str">
        <f t="shared" si="0"/>
        <v/>
      </c>
      <c r="N49" s="3" t="str">
        <f t="shared" si="5"/>
        <v/>
      </c>
      <c r="O49" t="str">
        <f t="shared" ca="1" si="6"/>
        <v/>
      </c>
    </row>
    <row r="50" spans="11:15" x14ac:dyDescent="0.3">
      <c r="K50" s="31" t="str">
        <f t="shared" si="0"/>
        <v/>
      </c>
      <c r="N50" s="3" t="str">
        <f t="shared" si="5"/>
        <v/>
      </c>
      <c r="O50" t="str">
        <f t="shared" ca="1" si="6"/>
        <v/>
      </c>
    </row>
    <row r="51" spans="11:15" x14ac:dyDescent="0.3">
      <c r="K51" s="31" t="str">
        <f t="shared" si="0"/>
        <v/>
      </c>
      <c r="N51" s="3" t="str">
        <f t="shared" si="5"/>
        <v/>
      </c>
      <c r="O51" t="str">
        <f t="shared" ca="1" si="6"/>
        <v/>
      </c>
    </row>
    <row r="52" spans="11:15" x14ac:dyDescent="0.3">
      <c r="K52" s="31" t="str">
        <f t="shared" si="0"/>
        <v/>
      </c>
      <c r="N52" s="3" t="str">
        <f t="shared" si="5"/>
        <v/>
      </c>
      <c r="O52" t="str">
        <f t="shared" ca="1" si="6"/>
        <v/>
      </c>
    </row>
    <row r="53" spans="11:15" x14ac:dyDescent="0.3">
      <c r="K53" s="31" t="str">
        <f t="shared" si="0"/>
        <v/>
      </c>
      <c r="N53" s="3" t="str">
        <f t="shared" si="5"/>
        <v/>
      </c>
      <c r="O53" t="str">
        <f t="shared" ca="1" si="6"/>
        <v/>
      </c>
    </row>
    <row r="54" spans="11:15" x14ac:dyDescent="0.3">
      <c r="K54" s="31" t="str">
        <f t="shared" si="0"/>
        <v/>
      </c>
      <c r="N54" s="3" t="str">
        <f t="shared" si="5"/>
        <v/>
      </c>
      <c r="O54" t="str">
        <f t="shared" ca="1" si="6"/>
        <v/>
      </c>
    </row>
    <row r="55" spans="11:15" x14ac:dyDescent="0.3">
      <c r="K55" s="31" t="str">
        <f t="shared" si="0"/>
        <v/>
      </c>
      <c r="N55" s="3" t="str">
        <f t="shared" si="5"/>
        <v/>
      </c>
      <c r="O55" t="str">
        <f t="shared" ca="1" si="6"/>
        <v/>
      </c>
    </row>
    <row r="56" spans="11:15" x14ac:dyDescent="0.3">
      <c r="K56" s="31" t="str">
        <f t="shared" si="0"/>
        <v/>
      </c>
      <c r="N56" s="3" t="str">
        <f t="shared" si="5"/>
        <v/>
      </c>
      <c r="O56" t="str">
        <f t="shared" ca="1" si="6"/>
        <v/>
      </c>
    </row>
    <row r="57" spans="11:15" x14ac:dyDescent="0.3">
      <c r="K57" s="31" t="str">
        <f t="shared" si="0"/>
        <v/>
      </c>
      <c r="N57" s="3" t="str">
        <f t="shared" si="5"/>
        <v/>
      </c>
      <c r="O57" t="str">
        <f t="shared" ca="1" si="6"/>
        <v/>
      </c>
    </row>
    <row r="58" spans="11:15" x14ac:dyDescent="0.3">
      <c r="K58" s="31" t="str">
        <f t="shared" si="0"/>
        <v/>
      </c>
      <c r="N58" s="3" t="str">
        <f t="shared" si="5"/>
        <v/>
      </c>
      <c r="O58" t="str">
        <f t="shared" ca="1" si="6"/>
        <v/>
      </c>
    </row>
    <row r="59" spans="11:15" x14ac:dyDescent="0.3">
      <c r="K59" s="31" t="str">
        <f t="shared" si="0"/>
        <v/>
      </c>
      <c r="N59" s="3" t="str">
        <f t="shared" si="5"/>
        <v/>
      </c>
      <c r="O59" t="str">
        <f t="shared" ca="1" si="6"/>
        <v/>
      </c>
    </row>
    <row r="60" spans="11:15" x14ac:dyDescent="0.3">
      <c r="K60" s="31" t="str">
        <f t="shared" si="0"/>
        <v/>
      </c>
      <c r="N60" s="3" t="str">
        <f t="shared" si="5"/>
        <v/>
      </c>
      <c r="O60" t="str">
        <f t="shared" ca="1" si="6"/>
        <v/>
      </c>
    </row>
    <row r="61" spans="11:15" x14ac:dyDescent="0.3">
      <c r="K61" s="31" t="str">
        <f t="shared" si="0"/>
        <v/>
      </c>
      <c r="N61" s="3" t="str">
        <f t="shared" si="5"/>
        <v/>
      </c>
      <c r="O61" t="str">
        <f t="shared" ca="1" si="6"/>
        <v/>
      </c>
    </row>
    <row r="62" spans="11:15" x14ac:dyDescent="0.3">
      <c r="K62" s="31" t="str">
        <f t="shared" si="0"/>
        <v/>
      </c>
      <c r="N62" s="3" t="str">
        <f t="shared" si="5"/>
        <v/>
      </c>
      <c r="O62" t="str">
        <f t="shared" ca="1" si="6"/>
        <v/>
      </c>
    </row>
    <row r="63" spans="11:15" x14ac:dyDescent="0.3">
      <c r="K63" s="31" t="str">
        <f t="shared" si="0"/>
        <v/>
      </c>
      <c r="N63" s="3" t="str">
        <f t="shared" si="5"/>
        <v/>
      </c>
      <c r="O63" t="str">
        <f t="shared" ca="1" si="6"/>
        <v/>
      </c>
    </row>
    <row r="64" spans="11:15" x14ac:dyDescent="0.3">
      <c r="K64" s="31" t="str">
        <f t="shared" si="0"/>
        <v/>
      </c>
      <c r="N64" s="3" t="str">
        <f t="shared" si="5"/>
        <v/>
      </c>
      <c r="O64" t="str">
        <f t="shared" ca="1" si="6"/>
        <v/>
      </c>
    </row>
    <row r="65" spans="11:15" x14ac:dyDescent="0.3">
      <c r="K65" s="31" t="str">
        <f t="shared" si="0"/>
        <v/>
      </c>
      <c r="N65" s="3" t="str">
        <f t="shared" si="5"/>
        <v/>
      </c>
      <c r="O65" t="str">
        <f t="shared" ca="1" si="6"/>
        <v/>
      </c>
    </row>
    <row r="66" spans="11:15" x14ac:dyDescent="0.3">
      <c r="K66" s="31" t="str">
        <f t="shared" ref="K66:K101" si="7">IF(J66="","",IF(H66="Comptant",J66,J66+H66))</f>
        <v/>
      </c>
      <c r="N66" s="3" t="str">
        <f t="shared" si="5"/>
        <v/>
      </c>
      <c r="O66" t="str">
        <f t="shared" ca="1" si="6"/>
        <v/>
      </c>
    </row>
    <row r="67" spans="11:15" x14ac:dyDescent="0.3">
      <c r="K67" s="31" t="str">
        <f t="shared" si="7"/>
        <v/>
      </c>
      <c r="N67" s="3" t="str">
        <f t="shared" si="5"/>
        <v/>
      </c>
      <c r="O67" t="str">
        <f t="shared" ca="1" si="6"/>
        <v/>
      </c>
    </row>
    <row r="68" spans="11:15" x14ac:dyDescent="0.3">
      <c r="K68" s="31" t="str">
        <f t="shared" si="7"/>
        <v/>
      </c>
      <c r="N68" s="3" t="str">
        <f t="shared" si="5"/>
        <v/>
      </c>
      <c r="O68" t="str">
        <f t="shared" ca="1" si="6"/>
        <v/>
      </c>
    </row>
    <row r="69" spans="11:15" x14ac:dyDescent="0.3">
      <c r="K69" s="31" t="str">
        <f t="shared" si="7"/>
        <v/>
      </c>
      <c r="N69" s="3" t="str">
        <f t="shared" si="5"/>
        <v/>
      </c>
      <c r="O69" t="str">
        <f t="shared" ca="1" si="6"/>
        <v/>
      </c>
    </row>
    <row r="70" spans="11:15" x14ac:dyDescent="0.3">
      <c r="K70" s="31" t="str">
        <f t="shared" si="7"/>
        <v/>
      </c>
      <c r="N70" s="3" t="str">
        <f t="shared" si="5"/>
        <v/>
      </c>
      <c r="O70" t="str">
        <f t="shared" ca="1" si="6"/>
        <v/>
      </c>
    </row>
    <row r="71" spans="11:15" x14ac:dyDescent="0.3">
      <c r="K71" s="31" t="str">
        <f t="shared" si="7"/>
        <v/>
      </c>
      <c r="N71" s="3" t="str">
        <f t="shared" si="5"/>
        <v/>
      </c>
      <c r="O71" t="str">
        <f t="shared" ca="1" si="6"/>
        <v/>
      </c>
    </row>
    <row r="72" spans="11:15" x14ac:dyDescent="0.3">
      <c r="K72" s="31" t="str">
        <f t="shared" si="7"/>
        <v/>
      </c>
      <c r="N72" s="3" t="str">
        <f t="shared" ref="N72:N101" si="8">IF(L72="","",L72-M72)</f>
        <v/>
      </c>
      <c r="O72" t="str">
        <f t="shared" ref="O72:O101" ca="1" si="9">IF(K72="","",IF(N72&lt;=0,"Payé",IF(AND(M72&gt;0,N72&gt;0),"Partiellement payé",IF(K72&lt;TODAY(),"Échu",IF(K72-TODAY()&lt;=7,"Échéance proche","À venir")))))</f>
        <v/>
      </c>
    </row>
    <row r="73" spans="11:15" x14ac:dyDescent="0.3">
      <c r="K73" s="31" t="str">
        <f t="shared" si="7"/>
        <v/>
      </c>
      <c r="N73" s="3" t="str">
        <f t="shared" si="8"/>
        <v/>
      </c>
      <c r="O73" t="str">
        <f t="shared" ca="1" si="9"/>
        <v/>
      </c>
    </row>
    <row r="74" spans="11:15" x14ac:dyDescent="0.3">
      <c r="K74" s="31" t="str">
        <f t="shared" si="7"/>
        <v/>
      </c>
      <c r="N74" s="3" t="str">
        <f t="shared" si="8"/>
        <v/>
      </c>
      <c r="O74" t="str">
        <f t="shared" ca="1" si="9"/>
        <v/>
      </c>
    </row>
    <row r="75" spans="11:15" x14ac:dyDescent="0.3">
      <c r="K75" s="31" t="str">
        <f t="shared" si="7"/>
        <v/>
      </c>
      <c r="N75" s="3" t="str">
        <f t="shared" si="8"/>
        <v/>
      </c>
      <c r="O75" t="str">
        <f t="shared" ca="1" si="9"/>
        <v/>
      </c>
    </row>
    <row r="76" spans="11:15" x14ac:dyDescent="0.3">
      <c r="K76" s="31" t="str">
        <f t="shared" si="7"/>
        <v/>
      </c>
      <c r="N76" s="3" t="str">
        <f t="shared" si="8"/>
        <v/>
      </c>
      <c r="O76" t="str">
        <f t="shared" ca="1" si="9"/>
        <v/>
      </c>
    </row>
    <row r="77" spans="11:15" x14ac:dyDescent="0.3">
      <c r="K77" s="31" t="str">
        <f t="shared" si="7"/>
        <v/>
      </c>
      <c r="N77" s="3" t="str">
        <f t="shared" si="8"/>
        <v/>
      </c>
      <c r="O77" t="str">
        <f t="shared" ca="1" si="9"/>
        <v/>
      </c>
    </row>
    <row r="78" spans="11:15" x14ac:dyDescent="0.3">
      <c r="K78" s="31" t="str">
        <f t="shared" si="7"/>
        <v/>
      </c>
      <c r="N78" s="3" t="str">
        <f t="shared" si="8"/>
        <v/>
      </c>
      <c r="O78" t="str">
        <f t="shared" ca="1" si="9"/>
        <v/>
      </c>
    </row>
    <row r="79" spans="11:15" x14ac:dyDescent="0.3">
      <c r="K79" s="31" t="str">
        <f t="shared" si="7"/>
        <v/>
      </c>
      <c r="N79" s="3" t="str">
        <f t="shared" si="8"/>
        <v/>
      </c>
      <c r="O79" t="str">
        <f t="shared" ca="1" si="9"/>
        <v/>
      </c>
    </row>
    <row r="80" spans="11:15" x14ac:dyDescent="0.3">
      <c r="K80" s="31" t="str">
        <f t="shared" si="7"/>
        <v/>
      </c>
      <c r="N80" s="3" t="str">
        <f t="shared" si="8"/>
        <v/>
      </c>
      <c r="O80" t="str">
        <f t="shared" ca="1" si="9"/>
        <v/>
      </c>
    </row>
    <row r="81" spans="11:15" x14ac:dyDescent="0.3">
      <c r="K81" s="31" t="str">
        <f t="shared" si="7"/>
        <v/>
      </c>
      <c r="N81" s="3" t="str">
        <f t="shared" si="8"/>
        <v/>
      </c>
      <c r="O81" t="str">
        <f t="shared" ca="1" si="9"/>
        <v/>
      </c>
    </row>
    <row r="82" spans="11:15" x14ac:dyDescent="0.3">
      <c r="K82" s="31" t="str">
        <f t="shared" si="7"/>
        <v/>
      </c>
      <c r="N82" s="3" t="str">
        <f t="shared" si="8"/>
        <v/>
      </c>
      <c r="O82" t="str">
        <f t="shared" ca="1" si="9"/>
        <v/>
      </c>
    </row>
    <row r="83" spans="11:15" x14ac:dyDescent="0.3">
      <c r="K83" s="31" t="str">
        <f t="shared" si="7"/>
        <v/>
      </c>
      <c r="N83" s="3" t="str">
        <f t="shared" si="8"/>
        <v/>
      </c>
      <c r="O83" t="str">
        <f t="shared" ca="1" si="9"/>
        <v/>
      </c>
    </row>
    <row r="84" spans="11:15" x14ac:dyDescent="0.3">
      <c r="K84" s="31" t="str">
        <f t="shared" si="7"/>
        <v/>
      </c>
      <c r="N84" s="3" t="str">
        <f t="shared" si="8"/>
        <v/>
      </c>
      <c r="O84" t="str">
        <f t="shared" ca="1" si="9"/>
        <v/>
      </c>
    </row>
    <row r="85" spans="11:15" x14ac:dyDescent="0.3">
      <c r="K85" s="31" t="str">
        <f t="shared" si="7"/>
        <v/>
      </c>
      <c r="N85" s="3" t="str">
        <f t="shared" si="8"/>
        <v/>
      </c>
      <c r="O85" t="str">
        <f t="shared" ca="1" si="9"/>
        <v/>
      </c>
    </row>
    <row r="86" spans="11:15" x14ac:dyDescent="0.3">
      <c r="K86" s="31" t="str">
        <f t="shared" si="7"/>
        <v/>
      </c>
      <c r="N86" s="3" t="str">
        <f t="shared" si="8"/>
        <v/>
      </c>
      <c r="O86" t="str">
        <f t="shared" ca="1" si="9"/>
        <v/>
      </c>
    </row>
    <row r="87" spans="11:15" x14ac:dyDescent="0.3">
      <c r="K87" s="31" t="str">
        <f t="shared" si="7"/>
        <v/>
      </c>
      <c r="N87" s="3" t="str">
        <f t="shared" si="8"/>
        <v/>
      </c>
      <c r="O87" t="str">
        <f t="shared" ca="1" si="9"/>
        <v/>
      </c>
    </row>
    <row r="88" spans="11:15" x14ac:dyDescent="0.3">
      <c r="K88" s="31" t="str">
        <f t="shared" si="7"/>
        <v/>
      </c>
      <c r="N88" s="3" t="str">
        <f t="shared" si="8"/>
        <v/>
      </c>
      <c r="O88" t="str">
        <f t="shared" ca="1" si="9"/>
        <v/>
      </c>
    </row>
    <row r="89" spans="11:15" x14ac:dyDescent="0.3">
      <c r="K89" s="31" t="str">
        <f t="shared" si="7"/>
        <v/>
      </c>
      <c r="N89" s="3" t="str">
        <f t="shared" si="8"/>
        <v/>
      </c>
      <c r="O89" t="str">
        <f t="shared" ca="1" si="9"/>
        <v/>
      </c>
    </row>
    <row r="90" spans="11:15" x14ac:dyDescent="0.3">
      <c r="K90" s="31" t="str">
        <f t="shared" si="7"/>
        <v/>
      </c>
      <c r="N90" s="3" t="str">
        <f t="shared" si="8"/>
        <v/>
      </c>
      <c r="O90" t="str">
        <f t="shared" ca="1" si="9"/>
        <v/>
      </c>
    </row>
    <row r="91" spans="11:15" x14ac:dyDescent="0.3">
      <c r="K91" s="31" t="str">
        <f t="shared" si="7"/>
        <v/>
      </c>
      <c r="N91" s="3" t="str">
        <f t="shared" si="8"/>
        <v/>
      </c>
      <c r="O91" t="str">
        <f t="shared" ca="1" si="9"/>
        <v/>
      </c>
    </row>
    <row r="92" spans="11:15" x14ac:dyDescent="0.3">
      <c r="K92" s="31" t="str">
        <f t="shared" si="7"/>
        <v/>
      </c>
      <c r="N92" s="3" t="str">
        <f t="shared" si="8"/>
        <v/>
      </c>
      <c r="O92" t="str">
        <f t="shared" ca="1" si="9"/>
        <v/>
      </c>
    </row>
    <row r="93" spans="11:15" x14ac:dyDescent="0.3">
      <c r="K93" s="31" t="str">
        <f t="shared" si="7"/>
        <v/>
      </c>
      <c r="N93" s="3" t="str">
        <f t="shared" si="8"/>
        <v/>
      </c>
      <c r="O93" t="str">
        <f t="shared" ca="1" si="9"/>
        <v/>
      </c>
    </row>
    <row r="94" spans="11:15" x14ac:dyDescent="0.3">
      <c r="K94" s="31" t="str">
        <f t="shared" si="7"/>
        <v/>
      </c>
      <c r="N94" s="3" t="str">
        <f t="shared" si="8"/>
        <v/>
      </c>
      <c r="O94" t="str">
        <f t="shared" ca="1" si="9"/>
        <v/>
      </c>
    </row>
    <row r="95" spans="11:15" x14ac:dyDescent="0.3">
      <c r="K95" s="31" t="str">
        <f t="shared" si="7"/>
        <v/>
      </c>
      <c r="N95" s="3" t="str">
        <f t="shared" si="8"/>
        <v/>
      </c>
      <c r="O95" t="str">
        <f t="shared" ca="1" si="9"/>
        <v/>
      </c>
    </row>
    <row r="96" spans="11:15" x14ac:dyDescent="0.3">
      <c r="K96" s="31" t="str">
        <f t="shared" si="7"/>
        <v/>
      </c>
      <c r="N96" s="3" t="str">
        <f t="shared" si="8"/>
        <v/>
      </c>
      <c r="O96" t="str">
        <f t="shared" ca="1" si="9"/>
        <v/>
      </c>
    </row>
    <row r="97" spans="1:15" x14ac:dyDescent="0.3">
      <c r="K97" s="31" t="str">
        <f t="shared" si="7"/>
        <v/>
      </c>
      <c r="N97" s="3" t="str">
        <f t="shared" si="8"/>
        <v/>
      </c>
      <c r="O97" t="str">
        <f t="shared" ca="1" si="9"/>
        <v/>
      </c>
    </row>
    <row r="98" spans="1:15" x14ac:dyDescent="0.3">
      <c r="K98" s="31" t="str">
        <f t="shared" si="7"/>
        <v/>
      </c>
      <c r="N98" s="3" t="str">
        <f t="shared" si="8"/>
        <v/>
      </c>
      <c r="O98" t="str">
        <f t="shared" ca="1" si="9"/>
        <v/>
      </c>
    </row>
    <row r="99" spans="1:15" x14ac:dyDescent="0.3">
      <c r="K99" s="31" t="str">
        <f t="shared" si="7"/>
        <v/>
      </c>
      <c r="N99" s="3" t="str">
        <f t="shared" si="8"/>
        <v/>
      </c>
      <c r="O99" t="str">
        <f t="shared" ca="1" si="9"/>
        <v/>
      </c>
    </row>
    <row r="100" spans="1:15" x14ac:dyDescent="0.3">
      <c r="K100" s="31" t="str">
        <f t="shared" si="7"/>
        <v/>
      </c>
      <c r="N100" s="3" t="str">
        <f t="shared" si="8"/>
        <v/>
      </c>
      <c r="O100" t="str">
        <f t="shared" ca="1" si="9"/>
        <v/>
      </c>
    </row>
    <row r="101" spans="1:15" x14ac:dyDescent="0.3">
      <c r="K101" s="31" t="str">
        <f t="shared" si="7"/>
        <v/>
      </c>
      <c r="N101" s="3" t="str">
        <f t="shared" si="8"/>
        <v/>
      </c>
      <c r="O101" t="str">
        <f t="shared" ca="1" si="9"/>
        <v/>
      </c>
    </row>
    <row r="102" spans="1:15" x14ac:dyDescent="0.3">
      <c r="A102" t="s">
        <v>42</v>
      </c>
      <c r="B102" t="s">
        <v>43</v>
      </c>
      <c r="C102" t="s">
        <v>8</v>
      </c>
      <c r="D102" t="s">
        <v>48</v>
      </c>
      <c r="E102">
        <v>93000005</v>
      </c>
      <c r="F102" t="s">
        <v>57</v>
      </c>
      <c r="G102" t="s">
        <v>58</v>
      </c>
      <c r="H102">
        <v>30</v>
      </c>
      <c r="I102" t="s">
        <v>61</v>
      </c>
      <c r="N102" s="3">
        <f t="shared" ref="N102" si="10">L102-M102</f>
        <v>0</v>
      </c>
      <c r="O102" t="str">
        <f t="shared" ref="O102" ca="1" si="11">IF(K102="","",IF(N102&lt;=0,"Payé",IF(K102&lt;TODAY(),"Échu",IF(K102-TODAY()&lt;=7,"Échéance proche","À venir"))))</f>
        <v/>
      </c>
    </row>
  </sheetData>
  <phoneticPr fontId="2" type="noConversion"/>
  <conditionalFormatting sqref="M2:M100">
    <cfRule type="expression" dxfId="14" priority="2">
      <formula>M2&gt;L2</formula>
    </cfRule>
  </conditionalFormatting>
  <conditionalFormatting sqref="N2:N101">
    <cfRule type="expression" dxfId="13" priority="1">
      <formula>N2&lt;0</formula>
    </cfRule>
  </conditionalFormatting>
  <conditionalFormatting sqref="O2:O195">
    <cfRule type="expression" dxfId="12" priority="3">
      <formula>$O2="À venir"</formula>
    </cfRule>
    <cfRule type="expression" dxfId="11" priority="4">
      <formula>$O2="Échéance proche"</formula>
    </cfRule>
    <cfRule type="expression" dxfId="10" priority="5">
      <formula>$O2="Échu"</formula>
    </cfRule>
    <cfRule type="expression" dxfId="9" priority="6">
      <formula>$O2="Payé"</formula>
    </cfRule>
    <cfRule type="expression" dxfId="8" priority="7">
      <formula>$O2="Payé"</formula>
    </cfRule>
  </conditionalFormatting>
  <dataValidations count="1">
    <dataValidation type="list" allowBlank="1" showInputMessage="1" showErrorMessage="1" sqref="H1:H1048576" xr:uid="{2D241DC0-C988-4A8B-B84A-0A40F6B61D9B}">
      <formula1>"Comptant,1,2,3,7,15,30,45,60,90,120,180,365"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396D-C505-493F-938B-0F23E1544859}">
  <dimension ref="A1:J6"/>
  <sheetViews>
    <sheetView tabSelected="1" topLeftCell="A2" workbookViewId="0">
      <selection activeCell="D28" sqref="D28"/>
    </sheetView>
  </sheetViews>
  <sheetFormatPr baseColWidth="10" defaultRowHeight="14.4" x14ac:dyDescent="0.3"/>
  <cols>
    <col min="3" max="3" width="22.6640625" customWidth="1"/>
    <col min="5" max="5" width="15.5546875" customWidth="1"/>
    <col min="6" max="6" width="16.6640625" customWidth="1"/>
    <col min="8" max="8" width="16.77734375" customWidth="1"/>
  </cols>
  <sheetData>
    <row r="1" spans="1:10" x14ac:dyDescent="0.3">
      <c r="A1" t="s">
        <v>63</v>
      </c>
      <c r="B1" t="s">
        <v>64</v>
      </c>
      <c r="C1" t="s">
        <v>65</v>
      </c>
      <c r="D1" t="s">
        <v>66</v>
      </c>
      <c r="E1" t="s">
        <v>104</v>
      </c>
      <c r="F1" t="s">
        <v>105</v>
      </c>
      <c r="G1" t="s">
        <v>106</v>
      </c>
      <c r="H1" s="5" t="s">
        <v>107</v>
      </c>
      <c r="I1" t="s">
        <v>120</v>
      </c>
      <c r="J1" t="s">
        <v>121</v>
      </c>
    </row>
    <row r="2" spans="1:10" x14ac:dyDescent="0.3">
      <c r="A2">
        <v>2026</v>
      </c>
      <c r="B2" t="s">
        <v>75</v>
      </c>
      <c r="C2" t="s">
        <v>9</v>
      </c>
      <c r="D2" t="s">
        <v>9</v>
      </c>
      <c r="E2">
        <f>SUMIFS(T_Budget[Montant prévu],T_Budget[Exercice],A2,T_Budget[Mois],B2,T_Budget[Service],C2,T_Budget[Catégorie],D2)</f>
        <v>5000000</v>
      </c>
      <c r="F2">
        <f>SUMIFS(T_Depenses[Montant],T_Depenses[Exercice],A2,T_Depenses[Mois],B2,T_Depenses[Service],C2,T_Depenses[Catégorie],D2)</f>
        <v>1500000</v>
      </c>
      <c r="G2">
        <f t="shared" ref="G2:G6" si="0">E2-F2</f>
        <v>3500000</v>
      </c>
      <c r="H2" s="5">
        <f t="shared" ref="H2:H6" si="1">IF(E2=0,0,F2/E2)</f>
        <v>0.3</v>
      </c>
      <c r="I2">
        <f>SUMIFS(T_Engagements[Montant engagé],T_Engagements[Exercice],A2,T_Engagements[Mois],B2,T_Engagements[Service],C2,T_Engagements[Catégorie],D2)</f>
        <v>2000000</v>
      </c>
      <c r="J2">
        <f t="shared" ref="J2:J6" si="2">E2-F2-I2</f>
        <v>1500000</v>
      </c>
    </row>
    <row r="3" spans="1:10" x14ac:dyDescent="0.3">
      <c r="A3">
        <v>2026</v>
      </c>
      <c r="B3" t="s">
        <v>75</v>
      </c>
      <c r="C3" t="s">
        <v>18</v>
      </c>
      <c r="D3" t="s">
        <v>1</v>
      </c>
      <c r="E3">
        <f>SUMIFS(T_Budget[Montant prévu],T_Budget[Exercice],A3,T_Budget[Mois],B3,T_Budget[Service],C3,T_Budget[Catégorie],D3)</f>
        <v>2000000</v>
      </c>
      <c r="F3">
        <f>SUMIFS(T_Depenses[Montant],T_Depenses[Exercice],A3,T_Depenses[Mois],B3,T_Depenses[Service],C3,T_Depenses[Catégorie],D3)</f>
        <v>500000</v>
      </c>
      <c r="G3">
        <f t="shared" si="0"/>
        <v>1500000</v>
      </c>
      <c r="H3" s="5">
        <f t="shared" si="1"/>
        <v>0.25</v>
      </c>
      <c r="I3">
        <f>SUMIFS(T_Engagements[Montant engagé],T_Engagements[Exercice],A3,T_Engagements[Mois],B3,T_Engagements[Service],C3,T_Engagements[Catégorie],D3)</f>
        <v>0</v>
      </c>
      <c r="J3">
        <f t="shared" si="2"/>
        <v>1500000</v>
      </c>
    </row>
    <row r="4" spans="1:10" x14ac:dyDescent="0.3">
      <c r="A4">
        <v>2026</v>
      </c>
      <c r="B4" t="s">
        <v>76</v>
      </c>
      <c r="C4" t="s">
        <v>14</v>
      </c>
      <c r="D4" t="s">
        <v>2</v>
      </c>
      <c r="E4">
        <f>SUMIFS(T_Budget[Montant prévu],T_Budget[Exercice],A4,T_Budget[Mois],B4,T_Budget[Service],C4,T_Budget[Catégorie],D4)</f>
        <v>1500000</v>
      </c>
      <c r="F4">
        <f>SUMIFS(T_Depenses[Montant],T_Depenses[Exercice],A4,T_Depenses[Mois],B4,T_Depenses[Service],C4,T_Depenses[Catégorie],D4)</f>
        <v>350000</v>
      </c>
      <c r="G4">
        <f t="shared" si="0"/>
        <v>1150000</v>
      </c>
      <c r="H4" s="5">
        <f t="shared" si="1"/>
        <v>0.23333333333333334</v>
      </c>
      <c r="I4">
        <f>SUMIFS(T_Engagements[Montant engagé],T_Engagements[Exercice],A4,T_Engagements[Mois],B4,T_Engagements[Service],C4,T_Engagements[Catégorie],D4)</f>
        <v>0</v>
      </c>
      <c r="J4">
        <f t="shared" si="2"/>
        <v>1150000</v>
      </c>
    </row>
    <row r="5" spans="1:10" x14ac:dyDescent="0.3">
      <c r="A5">
        <v>2026</v>
      </c>
      <c r="B5" t="s">
        <v>76</v>
      </c>
      <c r="C5" t="s">
        <v>9</v>
      </c>
      <c r="D5" t="s">
        <v>8</v>
      </c>
      <c r="E5">
        <f>SUMIFS(T_Budget[Montant prévu],T_Budget[Exercice],A5,T_Budget[Mois],B5,T_Budget[Service],C5,T_Budget[Catégorie],D5)</f>
        <v>1000000</v>
      </c>
      <c r="F5">
        <f>SUMIFS(T_Depenses[Montant],T_Depenses[Exercice],A5,T_Depenses[Mois],B5,T_Depenses[Service],C5,T_Depenses[Catégorie],D5)</f>
        <v>250000</v>
      </c>
      <c r="G5">
        <f t="shared" si="0"/>
        <v>750000</v>
      </c>
      <c r="H5" s="5">
        <f t="shared" si="1"/>
        <v>0.25</v>
      </c>
      <c r="I5">
        <f>SUMIFS(T_Engagements[Montant engagé],T_Engagements[Exercice],A5,T_Engagements[Mois],B5,T_Engagements[Service],C5,T_Engagements[Catégorie],D5)</f>
        <v>0</v>
      </c>
      <c r="J5">
        <f t="shared" si="2"/>
        <v>750000</v>
      </c>
    </row>
    <row r="6" spans="1:10" x14ac:dyDescent="0.3">
      <c r="A6">
        <v>2026</v>
      </c>
      <c r="B6" t="s">
        <v>108</v>
      </c>
      <c r="C6" t="s">
        <v>15</v>
      </c>
      <c r="D6" t="s">
        <v>7</v>
      </c>
      <c r="E6">
        <f>SUMIFS(T_Budget[Montant prévu],T_Budget[Exercice],A6,T_Budget[Mois],B6,T_Budget[Service],C6,T_Budget[Catégorie],D6)</f>
        <v>8000000</v>
      </c>
      <c r="F6">
        <f>SUMIFS(T_Depenses[Montant],T_Depenses[Exercice],A6,T_Depenses[Mois],B6,T_Depenses[Service],C6,T_Depenses[Catégorie],D6)</f>
        <v>0</v>
      </c>
      <c r="G6">
        <f t="shared" si="0"/>
        <v>8000000</v>
      </c>
      <c r="H6" s="5">
        <f t="shared" si="1"/>
        <v>0</v>
      </c>
      <c r="I6">
        <f>SUMIFS(T_Engagements[Montant engagé],T_Engagements[Exercice],A6,T_Engagements[Mois],B6,T_Engagements[Service],C6,T_Engagements[Catégorie],D6)</f>
        <v>0</v>
      </c>
      <c r="J6">
        <f t="shared" si="2"/>
        <v>8000000</v>
      </c>
    </row>
  </sheetData>
  <sheetProtection sheet="1" objects="1" scenarios="1"/>
  <phoneticPr fontId="2" type="noConversion"/>
  <conditionalFormatting sqref="J2:J100">
    <cfRule type="expression" dxfId="7" priority="1">
      <formula>AND(J2&gt;=0,J2&lt;E2*20%)</formula>
    </cfRule>
    <cfRule type="expression" dxfId="6" priority="2">
      <formula>J2&lt;0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546E-3698-4362-8CAD-30922432F326}">
  <dimension ref="A1:G13"/>
  <sheetViews>
    <sheetView workbookViewId="0">
      <selection activeCell="F27" sqref="F27"/>
    </sheetView>
  </sheetViews>
  <sheetFormatPr baseColWidth="10" defaultRowHeight="14.4" x14ac:dyDescent="0.3"/>
  <cols>
    <col min="2" max="2" width="12.21875" customWidth="1"/>
    <col min="3" max="3" width="14.33203125" customWidth="1"/>
    <col min="5" max="5" width="17.44140625" customWidth="1"/>
    <col min="6" max="6" width="15.5546875" customWidth="1"/>
    <col min="7" max="7" width="24" customWidth="1"/>
  </cols>
  <sheetData>
    <row r="1" spans="1:7" x14ac:dyDescent="0.3">
      <c r="A1" t="s">
        <v>64</v>
      </c>
      <c r="B1" t="s">
        <v>104</v>
      </c>
      <c r="C1" t="s">
        <v>105</v>
      </c>
      <c r="D1" t="s">
        <v>120</v>
      </c>
      <c r="E1" t="s">
        <v>122</v>
      </c>
      <c r="F1" t="s">
        <v>121</v>
      </c>
      <c r="G1" s="5" t="s">
        <v>123</v>
      </c>
    </row>
    <row r="2" spans="1:7" x14ac:dyDescent="0.3">
      <c r="A2" t="s">
        <v>75</v>
      </c>
      <c r="B2">
        <f>SUMIFS(T_Budget[Montant prévu],T_Budget[Mois],A2,T_Budget[Exercice],2026)</f>
        <v>7000000</v>
      </c>
      <c r="C2">
        <f>SUMIFS(T_Depenses[Montant],T_Depenses[Mois],A2,T_Depenses[Exercice],2026)</f>
        <v>2000000</v>
      </c>
      <c r="D2">
        <f>SUMIFS(T_Engagements[Montant engagé],T_Engagements[Mois],A2,T_Engagements[Exercice],2026)</f>
        <v>2800000</v>
      </c>
      <c r="E2">
        <f>C2+D2</f>
        <v>4800000</v>
      </c>
      <c r="F2">
        <f>B2-E2</f>
        <v>2200000</v>
      </c>
      <c r="G2" s="5">
        <f>IF(B2=0,0,E2/B2)</f>
        <v>0.68571428571428572</v>
      </c>
    </row>
    <row r="3" spans="1:7" x14ac:dyDescent="0.3">
      <c r="A3" s="2" t="s">
        <v>76</v>
      </c>
      <c r="B3">
        <f>SUMIFS(T_Budget[Montant prévu],T_Budget[Mois],A3,T_Budget[Exercice],2026)</f>
        <v>2500000</v>
      </c>
      <c r="C3">
        <f>SUMIFS(T_Depenses[Montant],T_Depenses[Mois],A3,T_Depenses[Exercice],2026)</f>
        <v>600000</v>
      </c>
      <c r="D3">
        <f>SUMIFS(T_Engagements[Montant engagé],T_Engagements[Mois],A3,T_Engagements[Exercice],2026)</f>
        <v>500000</v>
      </c>
      <c r="E3">
        <f t="shared" ref="E3:E13" si="0">C3+D3</f>
        <v>1100000</v>
      </c>
      <c r="F3">
        <f t="shared" ref="F3:F13" si="1">B3-E3</f>
        <v>1400000</v>
      </c>
      <c r="G3" s="5">
        <f t="shared" ref="G3:G13" si="2">IF(B3=0,0,E3/B3)</f>
        <v>0.44</v>
      </c>
    </row>
    <row r="4" spans="1:7" x14ac:dyDescent="0.3">
      <c r="A4" s="1" t="s">
        <v>77</v>
      </c>
      <c r="B4">
        <f>SUMIFS(T_Budget[Montant prévu],T_Budget[Mois],A4,T_Budget[Exercice],2026)</f>
        <v>8000000</v>
      </c>
      <c r="C4">
        <f>SUMIFS(T_Depenses[Montant],T_Depenses[Mois],A4,T_Depenses[Exercice],2026)</f>
        <v>0</v>
      </c>
      <c r="D4">
        <f>SUMIFS(T_Engagements[Montant engagé],T_Engagements[Mois],A4,T_Engagements[Exercice],2026)</f>
        <v>0</v>
      </c>
      <c r="E4">
        <f t="shared" si="0"/>
        <v>0</v>
      </c>
      <c r="F4">
        <f t="shared" si="1"/>
        <v>8000000</v>
      </c>
      <c r="G4" s="5">
        <f t="shared" si="2"/>
        <v>0</v>
      </c>
    </row>
    <row r="5" spans="1:7" x14ac:dyDescent="0.3">
      <c r="A5" t="s">
        <v>124</v>
      </c>
      <c r="B5">
        <f>SUMIFS(T_Budget[Montant prévu],T_Budget[Mois],A5,T_Budget[Exercice],2026)</f>
        <v>0</v>
      </c>
      <c r="C5">
        <f>SUMIFS(T_Depenses[Montant],T_Depenses[Mois],A5,T_Depenses[Exercice],2026)</f>
        <v>0</v>
      </c>
      <c r="D5">
        <f>SUMIFS(T_Engagements[Montant engagé],T_Engagements[Mois],A5,T_Engagements[Exercice],2026)</f>
        <v>0</v>
      </c>
      <c r="E5">
        <f t="shared" si="0"/>
        <v>0</v>
      </c>
      <c r="F5">
        <f t="shared" si="1"/>
        <v>0</v>
      </c>
      <c r="G5" s="5">
        <f t="shared" si="2"/>
        <v>0</v>
      </c>
    </row>
    <row r="6" spans="1:7" x14ac:dyDescent="0.3">
      <c r="A6" t="s">
        <v>125</v>
      </c>
      <c r="B6">
        <f>SUMIFS(T_Budget[Montant prévu],T_Budget[Mois],A6,T_Budget[Exercice],2026)</f>
        <v>0</v>
      </c>
      <c r="C6">
        <f>SUMIFS(T_Depenses[Montant],T_Depenses[Mois],A6,T_Depenses[Exercice],2026)</f>
        <v>0</v>
      </c>
      <c r="D6">
        <f>SUMIFS(T_Engagements[Montant engagé],T_Engagements[Mois],A6,T_Engagements[Exercice],2026)</f>
        <v>0</v>
      </c>
      <c r="E6">
        <f t="shared" si="0"/>
        <v>0</v>
      </c>
      <c r="F6">
        <f t="shared" si="1"/>
        <v>0</v>
      </c>
      <c r="G6" s="5">
        <f t="shared" si="2"/>
        <v>0</v>
      </c>
    </row>
    <row r="7" spans="1:7" x14ac:dyDescent="0.3">
      <c r="A7" t="s">
        <v>126</v>
      </c>
      <c r="B7">
        <f>SUMIFS(T_Budget[Montant prévu],T_Budget[Mois],A7,T_Budget[Exercice],2026)</f>
        <v>0</v>
      </c>
      <c r="C7">
        <f>SUMIFS(T_Depenses[Montant],T_Depenses[Mois],A7,T_Depenses[Exercice],2026)</f>
        <v>0</v>
      </c>
      <c r="D7">
        <f>SUMIFS(T_Engagements[Montant engagé],T_Engagements[Mois],A7,T_Engagements[Exercice],2026)</f>
        <v>0</v>
      </c>
      <c r="E7">
        <f t="shared" si="0"/>
        <v>0</v>
      </c>
      <c r="F7">
        <f t="shared" si="1"/>
        <v>0</v>
      </c>
      <c r="G7" s="5">
        <f t="shared" si="2"/>
        <v>0</v>
      </c>
    </row>
    <row r="8" spans="1:7" x14ac:dyDescent="0.3">
      <c r="A8" t="s">
        <v>127</v>
      </c>
      <c r="B8">
        <f>SUMIFS(T_Budget[Montant prévu],T_Budget[Mois],A8,T_Budget[Exercice],2026)</f>
        <v>0</v>
      </c>
      <c r="C8">
        <f>SUMIFS(T_Depenses[Montant],T_Depenses[Mois],A8,T_Depenses[Exercice],2026)</f>
        <v>0</v>
      </c>
      <c r="D8">
        <f>SUMIFS(T_Engagements[Montant engagé],T_Engagements[Mois],A8,T_Engagements[Exercice],2026)</f>
        <v>0</v>
      </c>
      <c r="E8">
        <f t="shared" si="0"/>
        <v>0</v>
      </c>
      <c r="F8">
        <f t="shared" si="1"/>
        <v>0</v>
      </c>
      <c r="G8" s="5">
        <f t="shared" si="2"/>
        <v>0</v>
      </c>
    </row>
    <row r="9" spans="1:7" x14ac:dyDescent="0.3">
      <c r="A9" t="s">
        <v>128</v>
      </c>
      <c r="B9">
        <f>SUMIFS(T_Budget[Montant prévu],T_Budget[Mois],A9,T_Budget[Exercice],2026)</f>
        <v>0</v>
      </c>
      <c r="C9">
        <f>SUMIFS(T_Depenses[Montant],T_Depenses[Mois],A9,T_Depenses[Exercice],2026)</f>
        <v>0</v>
      </c>
      <c r="D9">
        <f>SUMIFS(T_Engagements[Montant engagé],T_Engagements[Mois],A9,T_Engagements[Exercice],2026)</f>
        <v>0</v>
      </c>
      <c r="E9">
        <f t="shared" si="0"/>
        <v>0</v>
      </c>
      <c r="F9">
        <f t="shared" si="1"/>
        <v>0</v>
      </c>
      <c r="G9" s="5">
        <f t="shared" si="2"/>
        <v>0</v>
      </c>
    </row>
    <row r="10" spans="1:7" x14ac:dyDescent="0.3">
      <c r="A10" t="s">
        <v>129</v>
      </c>
      <c r="B10">
        <f>SUMIFS(T_Budget[Montant prévu],T_Budget[Mois],A10,T_Budget[Exercice],2026)</f>
        <v>0</v>
      </c>
      <c r="C10">
        <f>SUMIFS(T_Depenses[Montant],T_Depenses[Mois],A10,T_Depenses[Exercice],2026)</f>
        <v>0</v>
      </c>
      <c r="D10">
        <f>SUMIFS(T_Engagements[Montant engagé],T_Engagements[Mois],A10,T_Engagements[Exercice],2026)</f>
        <v>0</v>
      </c>
      <c r="E10">
        <f t="shared" si="0"/>
        <v>0</v>
      </c>
      <c r="F10">
        <f t="shared" si="1"/>
        <v>0</v>
      </c>
      <c r="G10" s="5">
        <f t="shared" si="2"/>
        <v>0</v>
      </c>
    </row>
    <row r="11" spans="1:7" x14ac:dyDescent="0.3">
      <c r="A11" t="s">
        <v>130</v>
      </c>
      <c r="B11">
        <f>SUMIFS(T_Budget[Montant prévu],T_Budget[Mois],A11,T_Budget[Exercice],2026)</f>
        <v>0</v>
      </c>
      <c r="C11">
        <f>SUMIFS(T_Depenses[Montant],T_Depenses[Mois],A11,T_Depenses[Exercice],2026)</f>
        <v>0</v>
      </c>
      <c r="D11">
        <f>SUMIFS(T_Engagements[Montant engagé],T_Engagements[Mois],A11,T_Engagements[Exercice],2026)</f>
        <v>0</v>
      </c>
      <c r="E11">
        <f t="shared" si="0"/>
        <v>0</v>
      </c>
      <c r="F11">
        <f t="shared" si="1"/>
        <v>0</v>
      </c>
      <c r="G11" s="5">
        <f t="shared" si="2"/>
        <v>0</v>
      </c>
    </row>
    <row r="12" spans="1:7" x14ac:dyDescent="0.3">
      <c r="A12" t="s">
        <v>131</v>
      </c>
      <c r="B12">
        <f>SUMIFS(T_Budget[Montant prévu],T_Budget[Mois],A12,T_Budget[Exercice],2026)</f>
        <v>0</v>
      </c>
      <c r="C12">
        <f>SUMIFS(T_Depenses[Montant],T_Depenses[Mois],A12,T_Depenses[Exercice],2026)</f>
        <v>0</v>
      </c>
      <c r="D12">
        <f>SUMIFS(T_Engagements[Montant engagé],T_Engagements[Mois],A12,T_Engagements[Exercice],2026)</f>
        <v>0</v>
      </c>
      <c r="E12">
        <f t="shared" si="0"/>
        <v>0</v>
      </c>
      <c r="F12">
        <f t="shared" si="1"/>
        <v>0</v>
      </c>
      <c r="G12" s="5">
        <f t="shared" si="2"/>
        <v>0</v>
      </c>
    </row>
    <row r="13" spans="1:7" x14ac:dyDescent="0.3">
      <c r="A13" t="s">
        <v>132</v>
      </c>
      <c r="B13">
        <f>SUMIFS(T_Budget[Montant prévu],T_Budget[Mois],A13,T_Budget[Exercice],2026)</f>
        <v>0</v>
      </c>
      <c r="C13">
        <f>SUMIFS(T_Depenses[Montant],T_Depenses[Mois],A13,T_Depenses[Exercice],2026)</f>
        <v>0</v>
      </c>
      <c r="D13">
        <f>SUMIFS(T_Engagements[Montant engagé],T_Engagements[Mois],A13,T_Engagements[Exercice],2026)</f>
        <v>0</v>
      </c>
      <c r="E13">
        <f t="shared" si="0"/>
        <v>0</v>
      </c>
      <c r="F13">
        <f t="shared" si="1"/>
        <v>0</v>
      </c>
      <c r="G13" s="5">
        <f t="shared" si="2"/>
        <v>0</v>
      </c>
    </row>
  </sheetData>
  <sheetProtection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8176-467A-4117-8FAB-D1A532D7DD48}">
  <dimension ref="A1:T24"/>
  <sheetViews>
    <sheetView showGridLines="0" topLeftCell="B1" zoomScale="73" zoomScaleNormal="75" workbookViewId="0">
      <selection activeCell="J6" sqref="J6"/>
    </sheetView>
  </sheetViews>
  <sheetFormatPr baseColWidth="10" defaultRowHeight="14.4" x14ac:dyDescent="0.3"/>
  <cols>
    <col min="1" max="1" width="31.109375" customWidth="1"/>
    <col min="2" max="2" width="16.77734375" customWidth="1"/>
    <col min="3" max="3" width="18" customWidth="1"/>
    <col min="4" max="4" width="14.5546875" customWidth="1"/>
    <col min="5" max="5" width="18.33203125" customWidth="1"/>
    <col min="6" max="6" width="17.77734375" customWidth="1"/>
    <col min="7" max="7" width="18.21875" customWidth="1"/>
    <col min="8" max="8" width="22.5546875" customWidth="1"/>
    <col min="9" max="9" width="17.88671875" customWidth="1"/>
    <col min="10" max="10" width="26.88671875" customWidth="1"/>
    <col min="12" max="12" width="11.5546875" customWidth="1"/>
    <col min="13" max="13" width="13.33203125" customWidth="1"/>
    <col min="14" max="14" width="14.5546875" customWidth="1"/>
    <col min="15" max="16" width="11.5546875" customWidth="1"/>
    <col min="17" max="17" width="15.109375" customWidth="1"/>
    <col min="18" max="18" width="11.5546875" customWidth="1"/>
    <col min="19" max="19" width="17.21875" customWidth="1"/>
    <col min="20" max="20" width="14.44140625" customWidth="1"/>
  </cols>
  <sheetData>
    <row r="1" spans="1:20" ht="65.400000000000006" customHeight="1" x14ac:dyDescent="0.45">
      <c r="A1" s="35" t="s">
        <v>133</v>
      </c>
      <c r="B1" s="35"/>
      <c r="C1" s="35"/>
      <c r="D1" s="35"/>
      <c r="E1" s="35"/>
      <c r="F1" s="35"/>
      <c r="G1" s="35"/>
      <c r="H1" s="35"/>
      <c r="L1" t="s">
        <v>64</v>
      </c>
      <c r="M1" t="s">
        <v>104</v>
      </c>
      <c r="N1" t="s">
        <v>105</v>
      </c>
      <c r="P1" t="s">
        <v>64</v>
      </c>
      <c r="Q1" t="s">
        <v>139</v>
      </c>
      <c r="S1" t="s">
        <v>66</v>
      </c>
      <c r="T1" t="s">
        <v>105</v>
      </c>
    </row>
    <row r="2" spans="1:20" ht="18.600000000000001" thickBot="1" x14ac:dyDescent="0.4">
      <c r="J2" s="17" t="s">
        <v>137</v>
      </c>
      <c r="L2" t="s">
        <v>75</v>
      </c>
      <c r="M2">
        <f>SUMIFS(T_Budget[Montant prévu],T_Budget[Mois],L2,T_Budget[Exercice],$J$3,T_Budget[Service],IF($J$6="Tous","*",$J$6),T_Budget[Catégorie],IF($J$9="Toutes","*",$J$9))</f>
        <v>7000000</v>
      </c>
      <c r="N2">
        <f>SUMIFS(T_Depenses[Montant],T_Depenses[Mois],L2,T_Depenses[Exercice],$J$3,T_Depenses[Service],IF($J$6="Tous","*",$J$6),T_Depenses[Catégorie],IF($J$9="Toutes","*",$J$9))</f>
        <v>2000000</v>
      </c>
      <c r="P2" t="s">
        <v>75</v>
      </c>
      <c r="Q2">
        <f>SUMIFS(T_Depenses[Montant],T_Depenses[Mois],P2,T_Depenses[Exercice],$J$3,T_Depenses[Service],IF($J$6="Tous","*",$J$6),T_Depenses[Catégorie],IF($J$9="Toutes","*",$J$9))+SUMIFS(T_Engagements[Montant engagé],T_Engagements[Mois],P2,T_Engagements[Exercice],$J$3,T_Engagements[Service],IF($J$6="Tous","*",$J$6),T_Engagements[Catégorie],IF($J$9="Toutes","*",$J$9))</f>
        <v>4800000</v>
      </c>
      <c r="S2" t="s">
        <v>1</v>
      </c>
      <c r="T2">
        <f>IF($J$9="Toutes",SUMIFS(T_Depenses[Montant],T_Depenses[Catégorie],S2,T_Depenses[Exercice],$J$3,T_Depenses[Service],IF($J$6="Tous","*",$J$6)),IF(S2=$J$9,SUMIFS(T_Depenses[Montant],T_Depenses[Catégorie],S2,T_Depenses[Exercice],$J$3,T_Depenses[Service],IF($J$6="Tous","*",$J$6)),0))</f>
        <v>500000</v>
      </c>
    </row>
    <row r="3" spans="1:20" ht="18.600000000000001" thickBot="1" x14ac:dyDescent="0.4">
      <c r="A3" s="8" t="s">
        <v>134</v>
      </c>
      <c r="B3" s="9" t="s">
        <v>140</v>
      </c>
      <c r="C3" s="10" t="s">
        <v>105</v>
      </c>
      <c r="D3" s="9" t="s">
        <v>141</v>
      </c>
      <c r="E3" s="10" t="s">
        <v>120</v>
      </c>
      <c r="F3" s="9" t="s">
        <v>142</v>
      </c>
      <c r="G3" s="10" t="s">
        <v>121</v>
      </c>
      <c r="H3" s="9" t="s">
        <v>143</v>
      </c>
      <c r="J3" s="28">
        <v>2026</v>
      </c>
      <c r="L3" t="s">
        <v>76</v>
      </c>
      <c r="M3">
        <f>SUMIFS(T_Budget[Montant prévu],T_Budget[Mois],L3,T_Budget[Exercice],$J$3,T_Budget[Service],IF($J$6="Tous","*",$J$6),T_Budget[Catégorie],IF($J$9="Toutes","*",$J$9))</f>
        <v>2500000</v>
      </c>
      <c r="N3">
        <f>SUMIFS(T_Depenses[Montant],T_Depenses[Mois],L3,T_Depenses[Exercice],$J$3,T_Depenses[Service],IF($J$6="Tous","*",$J$6),T_Depenses[Catégorie],IF($J$9="Toutes","*",$J$9))</f>
        <v>600000</v>
      </c>
      <c r="P3" t="s">
        <v>76</v>
      </c>
      <c r="Q3">
        <f>SUMIFS(T_Depenses[Montant],T_Depenses[Mois],P3,T_Depenses[Exercice],$J$3,T_Depenses[Service],IF($J$6="Tous","*",$J$6),T_Depenses[Catégorie],IF($J$9="Toutes","*",$J$9))+SUMIFS(T_Engagements[Montant engagé],T_Engagements[Mois],P3,T_Engagements[Exercice],$J$3,T_Engagements[Service],IF($J$6="Tous","*",$J$6),T_Engagements[Catégorie],IF($J$9="Toutes","*",$J$9))</f>
        <v>1100000</v>
      </c>
      <c r="S3" t="s">
        <v>2</v>
      </c>
      <c r="T3">
        <f>IF($J$9="Toutes",SUMIFS(T_Depenses[Montant],T_Depenses[Catégorie],S3,T_Depenses[Exercice],$J$3,T_Depenses[Service],IF($J$6="Tous","*",$J$6)),IF(S3=$J$9,SUMIFS(T_Depenses[Montant],T_Depenses[Catégorie],S3,T_Depenses[Exercice],$J$3,T_Depenses[Service],IF($J$6="Tous","*",$J$6)),0))</f>
        <v>350000</v>
      </c>
    </row>
    <row r="4" spans="1:20" ht="21.6" thickBot="1" x14ac:dyDescent="0.45">
      <c r="A4" s="12">
        <f>SUMIFS(T_Budget[Montant prévu],T_Budget[Exercice],$J$3,T_Budget[Service],IF($J$6="Tous","*",$J$6),T_Budget[Catégorie],IF($J$9="Toutes","*",$J$9))</f>
        <v>17500000</v>
      </c>
      <c r="B4" s="13">
        <f>COUNTIFS(T_Depenses[Exercice],$J$3,T_Depenses[Service],IF($J$6="Tous","*",$J$6),T_Depenses[Catégorie],IF($J$9="Toutes","*",$J$9))</f>
        <v>4</v>
      </c>
      <c r="C4" s="11">
        <f>SUMIFS(T_Depenses[Montant],T_Depenses[Exercice],$J$3,T_Depenses[Service],IF($J$6="Tous","*",$J$6),T_Depenses[Catégorie],IF($J$9="Toutes","*",$J$9))</f>
        <v>2600000</v>
      </c>
      <c r="D4" s="14">
        <f>COUNTIFS(T_Engagements[Exercice],$J$3,T_Engagements[Service],IF($J$6="Tous","*",$J$6),T_Engagements[Catégorie],IF($J$9="Toutes","*",$J$9))</f>
        <v>3</v>
      </c>
      <c r="E4" s="11">
        <f>SUMIFS(T_Engagements[Montant engagé],T_Engagements[Exercice],$J$3,T_Engagements[Service],IF($J$6="Tous","*",$J$6),T_Engagements[Catégorie],IF($J$9="Toutes","*",$J$9))</f>
        <v>3300000</v>
      </c>
      <c r="F4" s="14">
        <f>IF(B4=0,0,C4/B4)</f>
        <v>650000</v>
      </c>
      <c r="G4" s="11">
        <f>A4-C4-E4</f>
        <v>11600000</v>
      </c>
      <c r="H4" s="15">
        <f>IF(A4=0,0,E4/A4)</f>
        <v>0.18857142857142858</v>
      </c>
      <c r="L4" t="s">
        <v>77</v>
      </c>
      <c r="M4">
        <f>SUMIFS(T_Budget[Montant prévu],T_Budget[Mois],L4,T_Budget[Exercice],$J$3,T_Budget[Service],IF($J$6="Tous","*",$J$6),T_Budget[Catégorie],IF($J$9="Toutes","*",$J$9))</f>
        <v>8000000</v>
      </c>
      <c r="N4">
        <f>SUMIFS(T_Depenses[Montant],T_Depenses[Mois],L4,T_Depenses[Exercice],$J$3,T_Depenses[Service],IF($J$6="Tous","*",$J$6),T_Depenses[Catégorie],IF($J$9="Toutes","*",$J$9))</f>
        <v>0</v>
      </c>
      <c r="P4" t="s">
        <v>77</v>
      </c>
      <c r="Q4">
        <f>SUMIFS(T_Depenses[Montant],T_Depenses[Mois],P4,T_Depenses[Exercice],$J$3,T_Depenses[Service],IF($J$6="Tous","*",$J$6),T_Depenses[Catégorie],IF($J$9="Toutes","*",$J$9))+SUMIFS(T_Engagements[Montant engagé],T_Engagements[Mois],P4,T_Engagements[Exercice],$J$3,T_Engagements[Service],IF($J$6="Tous","*",$J$6),T_Engagements[Catégorie],IF($J$9="Toutes","*",$J$9))</f>
        <v>0</v>
      </c>
      <c r="S4" t="s">
        <v>3</v>
      </c>
      <c r="T4">
        <f>IF($J$9="Toutes",SUMIFS(T_Depenses[Montant],T_Depenses[Catégorie],S4,T_Depenses[Exercice],$J$3,T_Depenses[Service],IF($J$6="Tous","*",$J$6)),IF(S4=$J$9,SUMIFS(T_Depenses[Montant],T_Depenses[Catégorie],S4,T_Depenses[Exercice],$J$3,T_Depenses[Service],IF($J$6="Tous","*",$J$6)),0))</f>
        <v>0</v>
      </c>
    </row>
    <row r="5" spans="1:20" ht="18.600000000000001" thickBot="1" x14ac:dyDescent="0.4">
      <c r="J5" s="17" t="s">
        <v>144</v>
      </c>
      <c r="L5" t="s">
        <v>124</v>
      </c>
      <c r="M5">
        <f>SUMIFS(T_Budget[Montant prévu],T_Budget[Mois],L5,T_Budget[Exercice],$J$3,T_Budget[Service],IF($J$6="Tous","*",$J$6),T_Budget[Catégorie],IF($J$9="Toutes","*",$J$9))</f>
        <v>0</v>
      </c>
      <c r="N5">
        <f>SUMIFS(T_Depenses[Montant],T_Depenses[Mois],L5,T_Depenses[Exercice],$J$3,T_Depenses[Service],IF($J$6="Tous","*",$J$6),T_Depenses[Catégorie],IF($J$9="Toutes","*",$J$9))</f>
        <v>0</v>
      </c>
      <c r="P5" t="s">
        <v>124</v>
      </c>
      <c r="Q5">
        <f>SUMIFS(T_Depenses[Montant],T_Depenses[Mois],P5,T_Depenses[Exercice],$J$3,T_Depenses[Service],IF($J$6="Tous","*",$J$6),T_Depenses[Catégorie],IF($J$9="Toutes","*",$J$9))+SUMIFS(T_Engagements[Montant engagé],T_Engagements[Mois],P5,T_Engagements[Exercice],$J$3,T_Engagements[Service],IF($J$6="Tous","*",$J$6),T_Engagements[Catégorie],IF($J$9="Toutes","*",$J$9))</f>
        <v>0</v>
      </c>
      <c r="S5" t="s">
        <v>4</v>
      </c>
      <c r="T5">
        <f>IF($J$9="Toutes",SUMIFS(T_Depenses[Montant],T_Depenses[Catégorie],S5,T_Depenses[Exercice],$J$3,T_Depenses[Service],IF($J$6="Tous","*",$J$6)),IF(S5=$J$9,SUMIFS(T_Depenses[Montant],T_Depenses[Catégorie],S5,T_Depenses[Exercice],$J$3,T_Depenses[Service],IF($J$6="Tous","*",$J$6)),0))</f>
        <v>0</v>
      </c>
    </row>
    <row r="6" spans="1:20" ht="18.600000000000001" thickBot="1" x14ac:dyDescent="0.4">
      <c r="A6" s="6" t="s">
        <v>135</v>
      </c>
      <c r="J6" s="29" t="s">
        <v>145</v>
      </c>
      <c r="L6" t="s">
        <v>125</v>
      </c>
      <c r="M6">
        <f>SUMIFS(T_Budget[Montant prévu],T_Budget[Mois],L6,T_Budget[Exercice],$J$3,T_Budget[Service],IF($J$6="Tous","*",$J$6),T_Budget[Catégorie],IF($J$9="Toutes","*",$J$9))</f>
        <v>0</v>
      </c>
      <c r="N6">
        <f>SUMIFS(T_Depenses[Montant],T_Depenses[Mois],L6,T_Depenses[Exercice],$J$3,T_Depenses[Service],IF($J$6="Tous","*",$J$6),T_Depenses[Catégorie],IF($J$9="Toutes","*",$J$9))</f>
        <v>0</v>
      </c>
      <c r="P6" t="s">
        <v>125</v>
      </c>
      <c r="Q6">
        <f>SUMIFS(T_Depenses[Montant],T_Depenses[Mois],P6,T_Depenses[Exercice],$J$3,T_Depenses[Service],IF($J$6="Tous","*",$J$6),T_Depenses[Catégorie],IF($J$9="Toutes","*",$J$9))+SUMIFS(T_Engagements[Montant engagé],T_Engagements[Mois],P6,T_Engagements[Exercice],$J$3,T_Engagements[Service],IF($J$6="Tous","*",$J$6),T_Engagements[Catégorie],IF($J$9="Toutes","*",$J$9))</f>
        <v>0</v>
      </c>
      <c r="S6" t="s">
        <v>5</v>
      </c>
      <c r="T6">
        <f>IF($J$9="Toutes",SUMIFS(T_Depenses[Montant],T_Depenses[Catégorie],S6,T_Depenses[Exercice],$J$3,T_Depenses[Service],IF($J$6="Tous","*",$J$6)),IF(S6=$J$9,SUMIFS(T_Depenses[Montant],T_Depenses[Catégorie],S6,T_Depenses[Exercice],$J$3,T_Depenses[Service],IF($J$6="Tous","*",$J$6)),0))</f>
        <v>0</v>
      </c>
    </row>
    <row r="7" spans="1:20" ht="21" x14ac:dyDescent="0.4">
      <c r="A7" s="16">
        <f>IF(A4=0,0,(C4+E4)/A4)</f>
        <v>0.33714285714285713</v>
      </c>
      <c r="L7" t="s">
        <v>126</v>
      </c>
      <c r="M7">
        <f>SUMIFS(T_Budget[Montant prévu],T_Budget[Mois],L7,T_Budget[Exercice],$J$3,T_Budget[Service],IF($J$6="Tous","*",$J$6),T_Budget[Catégorie],IF($J$9="Toutes","*",$J$9))</f>
        <v>0</v>
      </c>
      <c r="N7">
        <f>SUMIFS(T_Depenses[Montant],T_Depenses[Mois],L7,T_Depenses[Exercice],$J$3,T_Depenses[Service],IF($J$6="Tous","*",$J$6),T_Depenses[Catégorie],IF($J$9="Toutes","*",$J$9))</f>
        <v>0</v>
      </c>
      <c r="P7" t="s">
        <v>126</v>
      </c>
      <c r="Q7">
        <f>SUMIFS(T_Depenses[Montant],T_Depenses[Mois],P7,T_Depenses[Exercice],$J$3,T_Depenses[Service],IF($J$6="Tous","*",$J$6),T_Depenses[Catégorie],IF($J$9="Toutes","*",$J$9))+SUMIFS(T_Engagements[Montant engagé],T_Engagements[Mois],P7,T_Engagements[Exercice],$J$3,T_Engagements[Service],IF($J$6="Tous","*",$J$6),T_Engagements[Catégorie],IF($J$9="Toutes","*",$J$9))</f>
        <v>0</v>
      </c>
      <c r="S7" t="s">
        <v>6</v>
      </c>
      <c r="T7">
        <f>IF($J$9="Toutes",SUMIFS(T_Depenses[Montant],T_Depenses[Catégorie],S7,T_Depenses[Exercice],$J$3,T_Depenses[Service],IF($J$6="Tous","*",$J$6)),IF(S7=$J$9,SUMIFS(T_Depenses[Montant],T_Depenses[Catégorie],S7,T_Depenses[Exercice],$J$3,T_Depenses[Service],IF($J$6="Tous","*",$J$6)),0))</f>
        <v>0</v>
      </c>
    </row>
    <row r="8" spans="1:20" ht="18.600000000000001" thickBot="1" x14ac:dyDescent="0.4">
      <c r="J8" s="17" t="s">
        <v>146</v>
      </c>
      <c r="L8" t="s">
        <v>127</v>
      </c>
      <c r="M8">
        <f>SUMIFS(T_Budget[Montant prévu],T_Budget[Mois],L8,T_Budget[Exercice],$J$3,T_Budget[Service],IF($J$6="Tous","*",$J$6),T_Budget[Catégorie],IF($J$9="Toutes","*",$J$9))</f>
        <v>0</v>
      </c>
      <c r="N8">
        <f>SUMIFS(T_Depenses[Montant],T_Depenses[Mois],L8,T_Depenses[Exercice],$J$3,T_Depenses[Service],IF($J$6="Tous","*",$J$6),T_Depenses[Catégorie],IF($J$9="Toutes","*",$J$9))</f>
        <v>0</v>
      </c>
      <c r="P8" t="s">
        <v>127</v>
      </c>
      <c r="Q8">
        <f>SUMIFS(T_Depenses[Montant],T_Depenses[Mois],P8,T_Depenses[Exercice],$J$3,T_Depenses[Service],IF($J$6="Tous","*",$J$6),T_Depenses[Catégorie],IF($J$9="Toutes","*",$J$9))+SUMIFS(T_Engagements[Montant engagé],T_Engagements[Mois],P8,T_Engagements[Exercice],$J$3,T_Engagements[Service],IF($J$6="Tous","*",$J$6),T_Engagements[Catégorie],IF($J$9="Toutes","*",$J$9))</f>
        <v>0</v>
      </c>
      <c r="S8" t="s">
        <v>7</v>
      </c>
      <c r="T8">
        <f>IF($J$9="Toutes",SUMIFS(T_Depenses[Montant],T_Depenses[Catégorie],S8,T_Depenses[Exercice],$J$3,T_Depenses[Service],IF($J$6="Tous","*",$J$6)),IF(S8=$J$9,SUMIFS(T_Depenses[Montant],T_Depenses[Catégorie],S8,T_Depenses[Exercice],$J$3,T_Depenses[Service],IF($J$6="Tous","*",$J$6)),0))</f>
        <v>0</v>
      </c>
    </row>
    <row r="9" spans="1:20" ht="18.600000000000001" thickBot="1" x14ac:dyDescent="0.4">
      <c r="A9" s="6" t="s">
        <v>136</v>
      </c>
      <c r="J9" s="30" t="s">
        <v>156</v>
      </c>
      <c r="L9" t="s">
        <v>138</v>
      </c>
      <c r="M9">
        <f>SUMIFS(T_Budget[Montant prévu],T_Budget[Mois],L9,T_Budget[Exercice],$J$3,T_Budget[Service],IF($J$6="Tous","*",$J$6),T_Budget[Catégorie],IF($J$9="Toutes","*",$J$9))</f>
        <v>0</v>
      </c>
      <c r="N9">
        <f>SUMIFS(T_Depenses[Montant],T_Depenses[Mois],L9,T_Depenses[Exercice],$J$3,T_Depenses[Service],IF($J$6="Tous","*",$J$6),T_Depenses[Catégorie],IF($J$9="Toutes","*",$J$9))</f>
        <v>0</v>
      </c>
      <c r="P9" t="s">
        <v>138</v>
      </c>
      <c r="Q9">
        <f>SUMIFS(T_Depenses[Montant],T_Depenses[Mois],P9,T_Depenses[Exercice],$J$3,T_Depenses[Service],IF($J$6="Tous","*",$J$6),T_Depenses[Catégorie],IF($J$9="Toutes","*",$J$9))+SUMIFS(T_Engagements[Montant engagé],T_Engagements[Mois],P9,T_Engagements[Exercice],$J$3,T_Engagements[Service],IF($J$6="Tous","*",$J$6),T_Engagements[Catégorie],IF($J$9="Toutes","*",$J$9))</f>
        <v>0</v>
      </c>
      <c r="S9" t="s">
        <v>8</v>
      </c>
      <c r="T9">
        <f>IF($J$9="Toutes",SUMIFS(T_Depenses[Montant],T_Depenses[Catégorie],S9,T_Depenses[Exercice],$J$3,T_Depenses[Service],IF($J$6="Tous","*",$J$6)),IF(S9=$J$9,SUMIFS(T_Depenses[Montant],T_Depenses[Catégorie],S9,T_Depenses[Exercice],$J$3,T_Depenses[Service],IF($J$6="Tous","*",$J$6)),0))</f>
        <v>250000</v>
      </c>
    </row>
    <row r="10" spans="1:20" ht="21" x14ac:dyDescent="0.4">
      <c r="A10" s="7" t="str">
        <f>IF(G4&lt;0,"Dépassement du budget",IF(G4&lt;A4*20%,"Budget presque épuisé","Situation normale"))</f>
        <v>Situation normale</v>
      </c>
      <c r="L10" t="s">
        <v>129</v>
      </c>
      <c r="M10">
        <f>SUMIFS(T_Budget[Montant prévu],T_Budget[Mois],L10,T_Budget[Exercice],$J$3,T_Budget[Service],IF($J$6="Tous","*",$J$6),T_Budget[Catégorie],IF($J$9="Toutes","*",$J$9))</f>
        <v>0</v>
      </c>
      <c r="N10">
        <f>SUMIFS(T_Depenses[Montant],T_Depenses[Mois],L10,T_Depenses[Exercice],$J$3,T_Depenses[Service],IF($J$6="Tous","*",$J$6),T_Depenses[Catégorie],IF($J$9="Toutes","*",$J$9))</f>
        <v>0</v>
      </c>
      <c r="P10" t="s">
        <v>129</v>
      </c>
      <c r="Q10">
        <f>SUMIFS(T_Depenses[Montant],T_Depenses[Mois],P10,T_Depenses[Exercice],$J$3,T_Depenses[Service],IF($J$6="Tous","*",$J$6),T_Depenses[Catégorie],IF($J$9="Toutes","*",$J$9))+SUMIFS(T_Engagements[Montant engagé],T_Engagements[Mois],P10,T_Engagements[Exercice],$J$3,T_Engagements[Service],IF($J$6="Tous","*",$J$6),T_Engagements[Catégorie],IF($J$9="Toutes","*",$J$9))</f>
        <v>0</v>
      </c>
      <c r="S10" t="s">
        <v>9</v>
      </c>
      <c r="T10">
        <f>IF($J$9="Toutes",SUMIFS(T_Depenses[Montant],T_Depenses[Catégorie],S10,T_Depenses[Exercice],$J$3,T_Depenses[Service],IF($J$6="Tous","*",$J$6)),IF(S10=$J$9,SUMIFS(T_Depenses[Montant],T_Depenses[Catégorie],S10,T_Depenses[Exercice],$J$3,T_Depenses[Service],IF($J$6="Tous","*",$J$6)),0))</f>
        <v>1500000</v>
      </c>
    </row>
    <row r="11" spans="1:20" ht="148.80000000000001" customHeight="1" x14ac:dyDescent="0.3">
      <c r="L11" t="s">
        <v>130</v>
      </c>
      <c r="M11">
        <f>SUMIFS(T_Budget[Montant prévu],T_Budget[Mois],L11,T_Budget[Exercice],$J$3,T_Budget[Service],IF($J$6="Tous","*",$J$6),T_Budget[Catégorie],IF($J$9="Toutes","*",$J$9))</f>
        <v>0</v>
      </c>
      <c r="N11">
        <f>SUMIFS(T_Depenses[Montant],T_Depenses[Mois],L11,T_Depenses[Exercice],$J$3,T_Depenses[Service],IF($J$6="Tous","*",$J$6),T_Depenses[Catégorie],IF($J$9="Toutes","*",$J$9))</f>
        <v>0</v>
      </c>
      <c r="P11" t="s">
        <v>130</v>
      </c>
      <c r="Q11">
        <f>SUMIFS(T_Depenses[Montant],T_Depenses[Mois],P11,T_Depenses[Exercice],$J$3,T_Depenses[Service],IF($J$6="Tous","*",$J$6),T_Depenses[Catégorie],IF($J$9="Toutes","*",$J$9))+SUMIFS(T_Engagements[Montant engagé],T_Engagements[Mois],P11,T_Engagements[Exercice],$J$3,T_Engagements[Service],IF($J$6="Tous","*",$J$6),T_Engagements[Catégorie],IF($J$9="Toutes","*",$J$9))</f>
        <v>0</v>
      </c>
      <c r="S11" t="s">
        <v>10</v>
      </c>
      <c r="T11">
        <f>IF($J$9="Toutes",SUMIFS(T_Depenses[Montant],T_Depenses[Catégorie],S11,T_Depenses[Exercice],$J$3,T_Depenses[Service],IF($J$6="Tous","*",$J$6)),IF(S11=$J$9,SUMIFS(T_Depenses[Montant],T_Depenses[Catégorie],S11,T_Depenses[Exercice],$J$3,T_Depenses[Service],IF($J$6="Tous","*",$J$6)),0))</f>
        <v>0</v>
      </c>
    </row>
    <row r="12" spans="1:20" x14ac:dyDescent="0.3">
      <c r="A12" s="18" t="s">
        <v>149</v>
      </c>
      <c r="B12" s="18"/>
      <c r="L12" t="s">
        <v>131</v>
      </c>
      <c r="M12">
        <f>SUMIFS(T_Budget[Montant prévu],T_Budget[Mois],L12,T_Budget[Exercice],$J$3,T_Budget[Service],IF($J$6="Tous","*",$J$6),T_Budget[Catégorie],IF($J$9="Toutes","*",$J$9))</f>
        <v>0</v>
      </c>
      <c r="N12">
        <f>SUMIFS(T_Depenses[Montant],T_Depenses[Mois],L12,T_Depenses[Exercice],$J$3,T_Depenses[Service],IF($J$6="Tous","*",$J$6),T_Depenses[Catégorie],IF($J$9="Toutes","*",$J$9))</f>
        <v>0</v>
      </c>
      <c r="P12" t="s">
        <v>131</v>
      </c>
      <c r="Q12">
        <f>SUMIFS(T_Depenses[Montant],T_Depenses[Mois],P12,T_Depenses[Exercice],$J$3,T_Depenses[Service],IF($J$6="Tous","*",$J$6),T_Depenses[Catégorie],IF($J$9="Toutes","*",$J$9))+SUMIFS(T_Engagements[Montant engagé],T_Engagements[Mois],P12,T_Engagements[Exercice],$J$3,T_Engagements[Service],IF($J$6="Tous","*",$J$6),T_Engagements[Catégorie],IF($J$9="Toutes","*",$J$9))</f>
        <v>0</v>
      </c>
      <c r="S12" t="s">
        <v>11</v>
      </c>
      <c r="T12">
        <f>IF($J$9="Toutes",SUMIFS(T_Depenses[Montant],T_Depenses[Catégorie],S12,T_Depenses[Exercice],$J$3,T_Depenses[Service],IF($J$6="Tous","*",$J$6)),IF(S12=$J$9,SUMIFS(T_Depenses[Montant],T_Depenses[Catégorie],S12,T_Depenses[Exercice],$J$3,T_Depenses[Service],IF($J$6="Tous","*",$J$6)),0))</f>
        <v>0</v>
      </c>
    </row>
    <row r="13" spans="1:20" x14ac:dyDescent="0.3">
      <c r="A13" s="18" t="s">
        <v>66</v>
      </c>
      <c r="B13" s="18" t="s">
        <v>105</v>
      </c>
      <c r="L13" t="s">
        <v>132</v>
      </c>
      <c r="M13">
        <f>SUMIFS(T_Budget[Montant prévu],T_Budget[Mois],L13,T_Budget[Exercice],$J$3,T_Budget[Service],IF($J$6="Tous","*",$J$6),T_Budget[Catégorie],IF($J$9="Toutes","*",$J$9))</f>
        <v>0</v>
      </c>
      <c r="N13">
        <f>SUMIFS(T_Depenses[Montant],T_Depenses[Mois],L13,T_Depenses[Exercice],$J$3,T_Depenses[Service],IF($J$6="Tous","*",$J$6),T_Depenses[Catégorie],IF($J$9="Toutes","*",$J$9))</f>
        <v>0</v>
      </c>
      <c r="P13" t="s">
        <v>132</v>
      </c>
      <c r="Q13">
        <f>SUMIFS(T_Depenses[Montant],T_Depenses[Mois],P13,T_Depenses[Exercice],$J$3,T_Depenses[Service],IF($J$6="Tous","*",$J$6),T_Depenses[Catégorie],IF($J$9="Toutes","*",$J$9))+SUMIFS(T_Engagements[Montant engagé],T_Engagements[Mois],P13,T_Engagements[Exercice],$J$3,T_Engagements[Service],IF($J$6="Tous","*",$J$6),T_Engagements[Catégorie],IF($J$9="Toutes","*",$J$9))</f>
        <v>0</v>
      </c>
      <c r="T13">
        <f>IF($J$9="Toutes",SUMIFS(T_Depenses[Montant],T_Depenses[Catégorie],S13,T_Depenses[Exercice],$J$3,T_Depenses[Service],IF($J$6="Tous","*",$J$6)),IF(S13=$J$9,SUMIFS(T_Depenses[Montant],T_Depenses[Catégorie],S13,T_Depenses[Exercice],$J$3,T_Depenses[Service],IF($J$6="Tous","*",$J$6)),0))</f>
        <v>0</v>
      </c>
    </row>
    <row r="14" spans="1:20" x14ac:dyDescent="0.3">
      <c r="A14" s="19" t="s">
        <v>1</v>
      </c>
      <c r="B14" s="19">
        <f>SUMIF(T_Depenses[Catégorie],A14,T_Depenses[Montant])</f>
        <v>500000</v>
      </c>
    </row>
    <row r="15" spans="1:20" x14ac:dyDescent="0.3">
      <c r="A15" s="19" t="s">
        <v>2</v>
      </c>
      <c r="B15" s="19">
        <f>SUMIF(T_Depenses[Catégorie],A15,T_Depenses[Montant])</f>
        <v>350000</v>
      </c>
    </row>
    <row r="16" spans="1:20" x14ac:dyDescent="0.3">
      <c r="A16" s="19" t="s">
        <v>3</v>
      </c>
      <c r="B16" s="19">
        <f>SUMIF(T_Depenses[Catégorie],A16,T_Depenses[Montant])</f>
        <v>0</v>
      </c>
    </row>
    <row r="17" spans="1:2" x14ac:dyDescent="0.3">
      <c r="A17" s="19" t="s">
        <v>4</v>
      </c>
      <c r="B17" s="19">
        <f>SUMIF(T_Depenses[Catégorie],A17,T_Depenses[Montant])</f>
        <v>0</v>
      </c>
    </row>
    <row r="18" spans="1:2" x14ac:dyDescent="0.3">
      <c r="A18" s="19" t="s">
        <v>5</v>
      </c>
      <c r="B18" s="19">
        <f>SUMIF(T_Depenses[Catégorie],A18,T_Depenses[Montant])</f>
        <v>0</v>
      </c>
    </row>
    <row r="19" spans="1:2" x14ac:dyDescent="0.3">
      <c r="A19" s="19" t="s">
        <v>6</v>
      </c>
      <c r="B19" s="19">
        <f>SUMIF(T_Depenses[Catégorie],A19,T_Depenses[Montant])</f>
        <v>0</v>
      </c>
    </row>
    <row r="20" spans="1:2" x14ac:dyDescent="0.3">
      <c r="A20" s="19" t="s">
        <v>7</v>
      </c>
      <c r="B20" s="19">
        <f>SUMIF(T_Depenses[Catégorie],A20,T_Depenses[Montant])</f>
        <v>0</v>
      </c>
    </row>
    <row r="21" spans="1:2" x14ac:dyDescent="0.3">
      <c r="A21" s="19" t="s">
        <v>8</v>
      </c>
      <c r="B21" s="19">
        <f>SUMIF(T_Depenses[Catégorie],A21,T_Depenses[Montant])</f>
        <v>250000</v>
      </c>
    </row>
    <row r="22" spans="1:2" x14ac:dyDescent="0.3">
      <c r="A22" s="19" t="s">
        <v>9</v>
      </c>
      <c r="B22" s="19">
        <f>SUMIF(T_Depenses[Catégorie],A22,T_Depenses[Montant])</f>
        <v>1500000</v>
      </c>
    </row>
    <row r="23" spans="1:2" x14ac:dyDescent="0.3">
      <c r="A23" s="19" t="s">
        <v>10</v>
      </c>
      <c r="B23" s="19">
        <f>SUMIF(T_Depenses[Catégorie],A23,T_Depenses[Montant])</f>
        <v>0</v>
      </c>
    </row>
    <row r="24" spans="1:2" x14ac:dyDescent="0.3">
      <c r="A24" s="19" t="s">
        <v>11</v>
      </c>
      <c r="B24" s="19">
        <f>SUMIF(T_Depenses[Catégorie],A24,T_Depenses[Montant])</f>
        <v>0</v>
      </c>
    </row>
  </sheetData>
  <sheetProtection sheet="1" objects="1" scenarios="1"/>
  <mergeCells count="1">
    <mergeCell ref="A1:H1"/>
  </mergeCells>
  <phoneticPr fontId="2" type="noConversion"/>
  <conditionalFormatting sqref="A10">
    <cfRule type="expression" dxfId="5" priority="1">
      <formula>A10="Dépassement du budget"</formula>
    </cfRule>
    <cfRule type="expression" dxfId="4" priority="2">
      <formula>A10="Budget presque épuisé"</formula>
    </cfRule>
    <cfRule type="expression" dxfId="3" priority="3">
      <formula>A10="Situation normale"</formula>
    </cfRule>
    <cfRule type="containsText" dxfId="2" priority="6" operator="containsText" text="Situation normale Budget presque épuisé Dépassement du budget">
      <formula>NOT(ISERROR(SEARCH("Situation normale Budget presque épuisé Dépassement du budget",A10)))</formula>
    </cfRule>
  </conditionalFormatting>
  <conditionalFormatting sqref="G4">
    <cfRule type="expression" dxfId="1" priority="4">
      <formula>AND(G4&gt;=0,G4&lt;A4*20%)</formula>
    </cfRule>
    <cfRule type="cellIs" dxfId="0" priority="5" operator="lessThan">
      <formula>0</formula>
    </cfRule>
  </conditionalFormatting>
  <dataValidations count="3">
    <dataValidation type="list" allowBlank="1" showInputMessage="1" showErrorMessage="1" sqref="J3" xr:uid="{FDCC37F9-B632-441E-8C0C-C96B2FBAB74B}">
      <formula1>"2026,2027,2028"</formula1>
    </dataValidation>
    <dataValidation type="list" allowBlank="1" showInputMessage="1" showErrorMessage="1" sqref="J6" xr:uid="{B10F939A-5B00-455C-ABA3-6E9A94ABD61D}">
      <formula1>"Tous,Direction générale,Finance,Ressources humaines,Informatique,Commercial,Production,Logistique"</formula1>
    </dataValidation>
    <dataValidation type="list" allowBlank="1" showInputMessage="1" showErrorMessage="1" sqref="J9" xr:uid="{013F4626-D9AC-4F25-995A-19AB9D62B30F}">
      <formula1>"Toutes,Transport,Fournitures,Électricité,Eau,Télécommunication,Carburant,Salaires,Maintenance,Informatique,Loyers,Autres"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ACCUEIL</vt:lpstr>
      <vt:lpstr>Paramères</vt:lpstr>
      <vt:lpstr>Budget</vt:lpstr>
      <vt:lpstr>Dépenses</vt:lpstr>
      <vt:lpstr>Engagements</vt:lpstr>
      <vt:lpstr>Fournisseurs</vt:lpstr>
      <vt:lpstr>Suivi Budgétaire</vt:lpstr>
      <vt:lpstr>Suivi Mensuel</vt:lpstr>
      <vt:lpstr>Tableau de bord</vt:lpstr>
      <vt:lpstr>Liste_Fournisseurs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SVPS</dc:creator>
  <cp:lastModifiedBy>Medinos MEMEVEGNI</cp:lastModifiedBy>
  <dcterms:created xsi:type="dcterms:W3CDTF">2026-09-07T07:54:48Z</dcterms:created>
  <dcterms:modified xsi:type="dcterms:W3CDTF">2026-10-06T10:41:14Z</dcterms:modified>
</cp:coreProperties>
</file>